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Necesidad circulante" sheetId="4" state="visible" r:id="rId4"/>
    <sheet xmlns:r="http://schemas.openxmlformats.org/officeDocument/2006/relationships" name="Flujo caja campaña" sheetId="5" state="visible" r:id="rId5"/>
    <sheet xmlns:r="http://schemas.openxmlformats.org/officeDocument/2006/relationships" name="E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) &quot;€&quot;;-"/>
    <numFmt numFmtId="165" formatCode="0.0%"/>
    <numFmt numFmtId="166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C00000"/>
      <sz val="11"/>
    </font>
    <font>
      <name val="Arial"/>
      <i val="1"/>
      <color rgb="007F7F7F"/>
      <sz val="9"/>
    </font>
    <font>
      <name val="Arial"/>
      <b val="1"/>
      <color rgb="001F3864"/>
      <sz val="15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 vertical="center" wrapText="1"/>
    </xf>
    <xf numFmtId="165" fontId="10" fillId="4" borderId="1" applyAlignment="1" pivotButton="0" quotePrefix="0" xfId="0">
      <alignment horizontal="right"/>
    </xf>
    <xf numFmtId="164" fontId="11" fillId="4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" fontId="10" fillId="0" borderId="1" applyAlignment="1" pivotButton="0" quotePrefix="0" xfId="0">
      <alignment horizontal="right"/>
    </xf>
    <xf numFmtId="0" fontId="3" fillId="2" borderId="0" pivotButton="0" quotePrefix="0" xfId="0"/>
    <xf numFmtId="0" fontId="9" fillId="3" borderId="0" applyAlignment="1" pivotButton="0" quotePrefix="0" xfId="0">
      <alignment horizontal="center" vertical="center"/>
    </xf>
    <xf numFmtId="0" fontId="4" fillId="0" borderId="1" pivotButton="0" quotePrefix="0" xfId="0"/>
    <xf numFmtId="165" fontId="10" fillId="0" borderId="1" pivotButton="0" quotePrefix="0" xfId="0"/>
    <xf numFmtId="0" fontId="3" fillId="5" borderId="0" pivotButton="0" quotePrefix="0" xfId="0"/>
    <xf numFmtId="165" fontId="3" fillId="5" borderId="0" pivotButton="0" quotePrefix="0" xfId="0"/>
    <xf numFmtId="165" fontId="12" fillId="0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0" fontId="3" fillId="5" borderId="1" pivotButton="0" quotePrefix="0" xfId="0"/>
    <xf numFmtId="165" fontId="3" fillId="5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5" fontId="0" fillId="5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5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/>
    </xf>
    <xf numFmtId="166" fontId="3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Facturación y margen bruto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'Histórico'!$B$4:$D$4</f>
            </numRef>
          </cat>
          <val>
            <numRef>
              <f>'Histórico'!$B$5:$D$5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'Histórico'!A6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'Histórico'!$B$6:$D$6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Facturación (€)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Margen bruto (%)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</cols>
  <sheetData>
    <row r="2">
      <c r="B2" s="1" t="inlineStr">
        <is>
          <t>ANEXO FINANCIERO</t>
        </is>
      </c>
    </row>
    <row r="3">
      <c r="B3" s="2" t="inlineStr">
        <is>
          <t>Plan de empresa — Solicitud de cuenta de crédito (línea de circulante)</t>
        </is>
      </c>
    </row>
    <row r="6" ht="20" customHeight="1">
      <c r="B6" s="3" t="inlineStr">
        <is>
          <t>Empresa</t>
        </is>
      </c>
      <c r="C6" s="4" t="inlineStr">
        <is>
          <t>EKIO BIOTECH, S.L.U.</t>
        </is>
      </c>
    </row>
    <row r="7" ht="20" customHeight="1">
      <c r="B7" s="3" t="inlineStr">
        <is>
          <t>CIF</t>
        </is>
      </c>
      <c r="C7" s="4" t="inlineStr">
        <is>
          <t>B93860096</t>
        </is>
      </c>
    </row>
    <row r="8" ht="20" customHeight="1">
      <c r="B8" s="3" t="inlineStr">
        <is>
          <t>Domicilio social</t>
        </is>
      </c>
      <c r="C8" s="4" t="inlineStr">
        <is>
          <t>Barrio de Arriba 39, 49327 Cubo de Benavente (Zamora)</t>
        </is>
      </c>
    </row>
    <row r="9" ht="20" customHeight="1">
      <c r="B9" s="3" t="inlineStr">
        <is>
          <t>Socio único y administrador</t>
        </is>
      </c>
      <c r="C9" s="4" t="inlineStr">
        <is>
          <t>Francisco Javier Andrés Andrés (NIF 09338115T)</t>
        </is>
      </c>
    </row>
    <row r="10" ht="20" customHeight="1">
      <c r="B10" s="3" t="inlineStr">
        <is>
          <t>Entidad destinataria</t>
        </is>
      </c>
      <c r="C10" s="4" t="inlineStr">
        <is>
          <t>CaixaBank (producto: cuenta de crédito CaixaBank Now)</t>
        </is>
      </c>
    </row>
    <row r="11" ht="34" customHeight="1">
      <c r="B11" s="3" t="inlineStr">
        <is>
          <t>Objeto del anexo</t>
        </is>
      </c>
      <c r="C11" s="4" t="inlineStr">
        <is>
          <t>Modelo de circulante de campaña Q4 anexo al plan de empresa para la línea de crédito destinada a la compra anticipada de existencias (Spiro y Ekio Light).</t>
        </is>
      </c>
    </row>
    <row r="12" ht="20" customHeight="1">
      <c r="B12" s="3" t="inlineStr">
        <is>
          <t>Fecha</t>
        </is>
      </c>
      <c r="C12" s="4" t="inlineStr">
        <is>
          <t>26 de agosto de 2026</t>
        </is>
      </c>
    </row>
    <row r="14">
      <c r="B14" s="5" t="inlineStr">
        <is>
          <t>AVISOS</t>
        </is>
      </c>
    </row>
    <row r="15" ht="42" customHeight="1">
      <c r="B15" s="6" t="inlineStr">
        <is>
          <t>•</t>
        </is>
      </c>
      <c r="C15" s="7" t="inlineStr">
        <is>
          <t>Los datos históricos (hoja «Histórico») proceden del P&amp;L de gestión de la actividad Ekio y están PENDIENTES de contraste con el Holded actualizado y las declaraciones fiscales (IRPF, modelos 130 y 390) antes de su presentación formal.</t>
        </is>
      </c>
    </row>
    <row r="16" ht="42" customHeight="1">
      <c r="B16" s="6" t="inlineStr">
        <is>
          <t>•</t>
        </is>
      </c>
      <c r="C16" s="7" t="inlineStr">
        <is>
          <t>El importe de la línea NO lo fija la empresa: se aporta una NECESIDAD ESTIMADA de financiación de existencias. El límite lo dimensiona CaixaBank.</t>
        </is>
      </c>
    </row>
    <row r="17" ht="42" customHeight="1">
      <c r="B17" s="6" t="inlineStr">
        <is>
          <t>•</t>
        </is>
      </c>
      <c r="C17" s="7" t="inlineStr">
        <is>
          <t>Las celdas resaltadas en amarillo son PENDIENTES de confirmar por Javier o supuestos clave editables. Cambiar la hoja «Supuestos» recalcula todo el modelo.</t>
        </is>
      </c>
    </row>
    <row r="18" ht="42" customHeight="1">
      <c r="B18" s="6" t="inlineStr">
        <is>
          <t>•</t>
        </is>
      </c>
      <c r="C18" s="7" t="inlineStr">
        <is>
          <t>Código de color: azul = dato de entrada · negro = fórmula · verde = enlace entre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Resultados históricos</t>
        </is>
      </c>
    </row>
    <row r="2">
      <c r="A2" s="9" t="inlineStr">
        <is>
          <t>Actividad Ekio (empresario individual hasta 2026, continuada por EKIO BIOTECH, S.L.U.)</t>
        </is>
      </c>
    </row>
    <row r="4">
      <c r="A4" s="10" t="inlineStr">
        <is>
          <t>Concepto</t>
        </is>
      </c>
      <c r="B4" s="10" t="inlineStr">
        <is>
          <t>2024</t>
        </is>
      </c>
      <c r="C4" s="10" t="inlineStr">
        <is>
          <t>2025</t>
        </is>
      </c>
      <c r="D4" s="10" t="inlineStr">
        <is>
          <t>2026 (H1)</t>
        </is>
      </c>
    </row>
    <row r="5">
      <c r="A5" s="11" t="inlineStr">
        <is>
          <t>Facturación (€)</t>
        </is>
      </c>
      <c r="B5" s="12" t="n">
        <v>534504</v>
      </c>
      <c r="C5" s="12" t="n">
        <v>537845</v>
      </c>
      <c r="D5" s="12" t="n">
        <v>207815</v>
      </c>
    </row>
    <row r="6">
      <c r="A6" s="11" t="inlineStr">
        <is>
          <t>Margen bruto (%)</t>
        </is>
      </c>
      <c r="B6" s="13" t="n">
        <v>0.384</v>
      </c>
      <c r="C6" s="13" t="n">
        <v>0.245</v>
      </c>
      <c r="D6" s="13" t="n">
        <v>0.5590000000000001</v>
      </c>
    </row>
    <row r="7">
      <c r="A7" s="11" t="inlineStr">
        <is>
          <t>Margen bruto (€)</t>
        </is>
      </c>
      <c r="B7" s="14">
        <f>B5*B6</f>
        <v/>
      </c>
      <c r="C7" s="14">
        <f>C5*C6</f>
        <v/>
      </c>
      <c r="D7" s="14">
        <f>D5*D6</f>
        <v/>
      </c>
    </row>
    <row r="8">
      <c r="A8" s="11" t="inlineStr">
        <is>
          <t>Coste de ventas implícito (€)</t>
        </is>
      </c>
      <c r="B8" s="14">
        <f>B5-B7</f>
        <v/>
      </c>
      <c r="C8" s="14">
        <f>C5-C7</f>
        <v/>
      </c>
      <c r="D8" s="14">
        <f>D5-D7</f>
        <v/>
      </c>
    </row>
    <row r="9">
      <c r="A9" s="11" t="inlineStr">
        <is>
          <t>Resultado del ejercicio (€)</t>
        </is>
      </c>
      <c r="B9" s="12" t="n">
        <v>52493</v>
      </c>
      <c r="C9" s="12" t="n">
        <v>19301</v>
      </c>
      <c r="D9" s="12" t="n">
        <v>78738</v>
      </c>
    </row>
    <row r="11" ht="30" customHeight="1">
      <c r="A11" s="7" t="inlineStr">
        <is>
          <t>Nota: el margen bruto (€) y el coste de ventas son calculados a partir de la facturación y del margen bruto (%) verificados; no son partidas independientes.</t>
        </is>
      </c>
    </row>
    <row r="12" ht="30" customHeight="1">
      <c r="A12" s="15" t="inlineStr">
        <is>
          <t>PENDIENTE (Javier): facturación 2023, cierre provisional jul/ago 2026 e informe de Holded actualizado para adjuntar como anexo.</t>
        </is>
      </c>
    </row>
  </sheetData>
  <mergeCells count="2">
    <mergeCell ref="A12:D12"/>
    <mergeCell ref="A11:D1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0" customWidth="1" min="4" max="4"/>
  </cols>
  <sheetData>
    <row r="1">
      <c r="A1" s="8" t="inlineStr">
        <is>
          <t>Supuestos</t>
        </is>
      </c>
    </row>
    <row r="2">
      <c r="A2" s="9" t="inlineStr">
        <is>
          <t>Parámetros editables. Cambiar estas celdas recalcula todas las demás hojas.</t>
        </is>
      </c>
    </row>
    <row r="4">
      <c r="A4" s="11" t="inlineStr">
        <is>
          <t>Facturación campaña año anterior (€)</t>
        </is>
      </c>
      <c r="B4" s="12" t="n">
        <v>275000</v>
      </c>
      <c r="D4" s="7" t="inlineStr">
        <is>
          <t>Verificado (BF+Navidad+Reyes año previo).</t>
        </is>
      </c>
    </row>
    <row r="5">
      <c r="A5" s="11" t="inlineStr">
        <is>
          <t>Crecimiento de campaña base (%)</t>
        </is>
      </c>
      <c r="B5" s="16" t="n">
        <v>0.15</v>
      </c>
      <c r="D5" s="7" t="inlineStr">
        <is>
          <t>Supuesto prudente. Justificado por expansión de margen 2026 y ferias oct.</t>
        </is>
      </c>
    </row>
    <row r="6">
      <c r="A6" s="11" t="inlineStr">
        <is>
          <t>Objetivo de ventas campaña 2026 — base (€)</t>
        </is>
      </c>
      <c r="B6" s="17">
        <f>B4*(1+B5)</f>
        <v/>
      </c>
      <c r="D6" s="7" t="inlineStr">
        <is>
          <t>PENDIENTE: sustituir por objetivo confirmado de Javier.</t>
        </is>
      </c>
    </row>
    <row r="7">
      <c r="A7" s="11" t="inlineStr">
        <is>
          <t>Caída escenario conservador (%)</t>
        </is>
      </c>
      <c r="B7" s="13" t="n">
        <v>0.25</v>
      </c>
      <c r="D7" s="7" t="inlineStr">
        <is>
          <t>Estrés de -25% sobre ventas de campaña base.</t>
        </is>
      </c>
    </row>
    <row r="8">
      <c r="A8" s="11" t="inlineStr">
        <is>
          <t>Reparto Spiro (%)</t>
        </is>
      </c>
      <c r="B8" s="16" t="n">
        <v>0.6</v>
      </c>
      <c r="D8" s="7" t="inlineStr">
        <is>
          <t>Supuesto de planificación. PENDIENTE confirmar reparto objetivo.</t>
        </is>
      </c>
    </row>
    <row r="9">
      <c r="A9" s="11" t="inlineStr">
        <is>
          <t>Reparto Ekio Light (%)</t>
        </is>
      </c>
      <c r="B9" s="18">
        <f>1-B8</f>
        <v/>
      </c>
      <c r="D9" s="7" t="inlineStr">
        <is>
          <t>Complemento del reparto Spiro.</t>
        </is>
      </c>
    </row>
    <row r="10">
      <c r="A10" s="11" t="inlineStr">
        <is>
          <t>Coste de mercancía Spiro (%)</t>
        </is>
      </c>
      <c r="B10" s="16" t="n">
        <v>0.6</v>
      </c>
      <c r="D10" s="7" t="inlineStr">
        <is>
          <t>Margen ~40%, coherente con MB 38,4% de 2024 (año Spiro-intensivo). Prudente.</t>
        </is>
      </c>
    </row>
    <row r="11">
      <c r="A11" s="11" t="inlineStr">
        <is>
          <t>Coste de mercancía Ekio Light (%)</t>
        </is>
      </c>
      <c r="B11" s="16" t="n">
        <v>0.45</v>
      </c>
      <c r="D11" s="7" t="inlineStr">
        <is>
          <t>Margen ~55%, coherente con MB de línea &gt;50% y MB global 55,9% H1 2026.</t>
        </is>
      </c>
    </row>
    <row r="12">
      <c r="A12" s="11" t="inlineStr">
        <is>
          <t>Gastos de campaña (% s/ ventas)</t>
        </is>
      </c>
      <c r="B12" s="16" t="n">
        <v>0.12</v>
      </c>
      <c r="D12" s="7" t="inlineStr">
        <is>
          <t>Marketing + logística. Supuesto de planificación, NO verificado. PENDIENTE.</t>
        </is>
      </c>
    </row>
    <row r="13">
      <c r="A13" s="11" t="inlineStr">
        <is>
          <t>Cuota préstamo 70k (€/mes)</t>
        </is>
      </c>
      <c r="B13" s="19" t="n">
        <v>1350</v>
      </c>
      <c r="D13" s="7" t="inlineStr">
        <is>
          <t>Provisional. PENDIENTE: cuota, saldo vivo y vencimiento reales.</t>
        </is>
      </c>
    </row>
    <row r="14">
      <c r="A14" s="11" t="inlineStr">
        <is>
          <t>Meses de campaña</t>
        </is>
      </c>
      <c r="B14" s="20" t="n">
        <v>5</v>
      </c>
      <c r="D14" s="7" t="inlineStr">
        <is>
          <t>Oct-2026 a Feb-2027.</t>
        </is>
      </c>
    </row>
    <row r="16">
      <c r="A16" s="21" t="inlineStr">
        <is>
          <t>Distribución mensual (fracción del total de campaña)</t>
        </is>
      </c>
    </row>
    <row r="17">
      <c r="A17" s="10" t="inlineStr">
        <is>
          <t>Mes</t>
        </is>
      </c>
      <c r="B17" s="10" t="inlineStr">
        <is>
          <t>Ventas %</t>
        </is>
      </c>
      <c r="C17" s="10" t="inlineStr">
        <is>
          <t>Compras %</t>
        </is>
      </c>
      <c r="D17" s="22" t="inlineStr">
        <is>
          <t>Nota</t>
        </is>
      </c>
    </row>
    <row r="18">
      <c r="A18" s="23" t="inlineStr">
        <is>
          <t>Octubre 2026</t>
        </is>
      </c>
      <c r="B18" s="24" t="n">
        <v>0.15</v>
      </c>
      <c r="C18" s="24" t="n">
        <v>0.6</v>
      </c>
      <c r="D18" s="7" t="inlineStr">
        <is>
          <t>Estacionalidad de campaña (supuesto, PENDIENTE contrastar con histórico).</t>
        </is>
      </c>
    </row>
    <row r="19">
      <c r="A19" s="23" t="inlineStr">
        <is>
          <t>Noviembre 2026</t>
        </is>
      </c>
      <c r="B19" s="24" t="n">
        <v>0.35</v>
      </c>
      <c r="C19" s="24" t="n">
        <v>0.3</v>
      </c>
    </row>
    <row r="20">
      <c r="A20" s="23" t="inlineStr">
        <is>
          <t>Diciembre 2026</t>
        </is>
      </c>
      <c r="B20" s="24" t="n">
        <v>0.3</v>
      </c>
      <c r="C20" s="24" t="n">
        <v>0.1</v>
      </c>
    </row>
    <row r="21">
      <c r="A21" s="23" t="inlineStr">
        <is>
          <t>Enero 2027</t>
        </is>
      </c>
      <c r="B21" s="24" t="n">
        <v>0.15</v>
      </c>
      <c r="C21" s="24" t="n">
        <v>0</v>
      </c>
    </row>
    <row r="22">
      <c r="A22" s="23" t="inlineStr">
        <is>
          <t>Febrero 2027</t>
        </is>
      </c>
      <c r="B22" s="24" t="n">
        <v>0.05</v>
      </c>
      <c r="C22" s="24" t="n">
        <v>0</v>
      </c>
    </row>
    <row r="23">
      <c r="A23" s="25" t="inlineStr">
        <is>
          <t>Total (debe sumar 100%)</t>
        </is>
      </c>
      <c r="B23" s="26">
        <f>SUM(B18:B22)</f>
        <v/>
      </c>
      <c r="C23" s="26">
        <f>SUM(C18:C22)</f>
        <v/>
      </c>
    </row>
  </sheetData>
  <mergeCells count="1">
    <mergeCell ref="A16:D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Necesidad estimada de financiación de existencias</t>
        </is>
      </c>
    </row>
    <row r="2">
      <c r="A2" s="9" t="inlineStr">
        <is>
          <t>Coste de la mercancía de campaña por línea. Tira de la hoja «Supuestos».</t>
        </is>
      </c>
    </row>
    <row r="4">
      <c r="A4" s="10" t="inlineStr">
        <is>
          <t>Línea</t>
        </is>
      </c>
      <c r="B4" s="10" t="inlineStr">
        <is>
          <t>Reparto %</t>
        </is>
      </c>
      <c r="C4" s="10" t="inlineStr">
        <is>
          <t>Ventas campaña €</t>
        </is>
      </c>
      <c r="D4" s="10" t="inlineStr">
        <is>
          <t>Coste merc. %</t>
        </is>
      </c>
      <c r="E4" s="10" t="inlineStr">
        <is>
          <t>Coste mercancía €</t>
        </is>
      </c>
    </row>
    <row r="5">
      <c r="A5" s="4" t="inlineStr">
        <is>
          <t>Spiro (distribución)</t>
        </is>
      </c>
      <c r="B5" s="27">
        <f>Supuestos!B8</f>
        <v/>
      </c>
      <c r="C5" s="28">
        <f>Supuestos!$B$6*B5</f>
        <v/>
      </c>
      <c r="D5" s="27">
        <f>Supuestos!B10</f>
        <v/>
      </c>
      <c r="E5" s="14">
        <f>C5*D5</f>
        <v/>
      </c>
    </row>
    <row r="6">
      <c r="A6" s="4" t="inlineStr">
        <is>
          <t>Ekio Light (fabricación propia)</t>
        </is>
      </c>
      <c r="B6" s="27">
        <f>Supuestos!B9</f>
        <v/>
      </c>
      <c r="C6" s="28">
        <f>Supuestos!$B$6*B6</f>
        <v/>
      </c>
      <c r="D6" s="27">
        <f>Supuestos!B11</f>
        <v/>
      </c>
      <c r="E6" s="14">
        <f>C6*D6</f>
        <v/>
      </c>
    </row>
    <row r="7">
      <c r="A7" s="29" t="inlineStr">
        <is>
          <t>Total campaña</t>
        </is>
      </c>
      <c r="B7" s="30">
        <f>SUM(B5:B6)</f>
        <v/>
      </c>
      <c r="C7" s="31">
        <f>SUM(C5:C6)</f>
        <v/>
      </c>
      <c r="D7" s="32" t="n"/>
      <c r="E7" s="31">
        <f>SUM(E5:E6)</f>
        <v/>
      </c>
    </row>
    <row r="10">
      <c r="A10" s="21" t="inlineStr">
        <is>
          <t>Necesidad estimada (rango) — escenario base</t>
        </is>
      </c>
    </row>
    <row r="11">
      <c r="A11" s="11" t="inlineStr">
        <is>
          <t>Pico de disposición de la línea (compra escalonada)</t>
        </is>
      </c>
      <c r="C11" s="28">
        <f>'Flujo caja campaña'!B15</f>
        <v/>
      </c>
      <c r="D11" s="7" t="inlineStr">
        <is>
          <t>Mínimo operativo: financia el desfase pago-cobro.</t>
        </is>
      </c>
    </row>
    <row r="12">
      <c r="A12" s="11" t="inlineStr">
        <is>
          <t>Coste total de la mercancía de campaña</t>
        </is>
      </c>
      <c r="C12" s="14">
        <f>E7</f>
        <v/>
      </c>
      <c r="D12" s="7" t="inlineStr">
        <is>
          <t>Máximo: si se adquiere todo el inventario por adelantado.</t>
        </is>
      </c>
    </row>
    <row r="13">
      <c r="A13" s="11" t="inlineStr">
        <is>
          <t>Punto medio de referencia (banda operativa)</t>
        </is>
      </c>
      <c r="C13" s="31">
        <f>AVERAGE(C11,C12)</f>
        <v/>
      </c>
      <c r="D13" s="7" t="inlineStr">
        <is>
          <t>Referencia prudente ~100.000–120.000 €.</t>
        </is>
      </c>
    </row>
    <row r="15">
      <c r="A15" s="7" t="inlineStr">
        <is>
          <t>El límite final lo dimensiona CaixaBank. La empresa no fija importe: aporta la necesidad operativa estimada.</t>
        </is>
      </c>
    </row>
  </sheetData>
  <mergeCells count="2">
    <mergeCell ref="A10:C10"/>
    <mergeCell ref="A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8" t="inlineStr">
        <is>
          <t>Flujo de caja de campaña (escenario base)</t>
        </is>
      </c>
    </row>
    <row r="2">
      <c r="A2" s="9" t="inlineStr">
        <is>
          <t>Octubre 2026 – Febrero 2027. Todo deriva por fórmula de «Supuestos» y «Necesidad circulante».</t>
        </is>
      </c>
    </row>
    <row r="4">
      <c r="A4" s="10" t="inlineStr">
        <is>
          <t>Concepto (€)</t>
        </is>
      </c>
      <c r="B4" s="10" t="inlineStr">
        <is>
          <t>Oct-26</t>
        </is>
      </c>
      <c r="C4" s="10" t="inlineStr">
        <is>
          <t>Nov-26</t>
        </is>
      </c>
      <c r="D4" s="10" t="inlineStr">
        <is>
          <t>Dic-26</t>
        </is>
      </c>
      <c r="E4" s="10" t="inlineStr">
        <is>
          <t>Ene-27</t>
        </is>
      </c>
      <c r="F4" s="10" t="inlineStr">
        <is>
          <t>Feb-27</t>
        </is>
      </c>
      <c r="G4" s="10" t="inlineStr">
        <is>
          <t>Total</t>
        </is>
      </c>
    </row>
    <row r="5">
      <c r="A5" s="11" t="inlineStr">
        <is>
          <t>Cobros por ventas</t>
        </is>
      </c>
      <c r="B5" s="28">
        <f>Supuestos!$B$6*Supuestos!$B$18</f>
        <v/>
      </c>
      <c r="C5" s="28">
        <f>Supuestos!$B$6*Supuestos!$B$19</f>
        <v/>
      </c>
      <c r="D5" s="28">
        <f>Supuestos!$B$6*Supuestos!$B$20</f>
        <v/>
      </c>
      <c r="E5" s="28">
        <f>Supuestos!$B$6*Supuestos!$B$21</f>
        <v/>
      </c>
      <c r="F5" s="28">
        <f>Supuestos!$B$6*Supuestos!$B$22</f>
        <v/>
      </c>
      <c r="G5" s="33">
        <f>SUM(B5:F5)</f>
        <v/>
      </c>
    </row>
    <row r="6">
      <c r="A6" s="11" t="inlineStr">
        <is>
          <t>(−) Compra de stock</t>
        </is>
      </c>
      <c r="B6" s="28">
        <f>-'Necesidad circulante'!$E$7*Supuestos!$C$18</f>
        <v/>
      </c>
      <c r="C6" s="28">
        <f>-'Necesidad circulante'!$E$7*Supuestos!$C$19</f>
        <v/>
      </c>
      <c r="D6" s="28">
        <f>-'Necesidad circulante'!$E$7*Supuestos!$C$20</f>
        <v/>
      </c>
      <c r="E6" s="28">
        <f>-'Necesidad circulante'!$E$7*Supuestos!$C$21</f>
        <v/>
      </c>
      <c r="F6" s="28">
        <f>-'Necesidad circulante'!$E$7*Supuestos!$C$22</f>
        <v/>
      </c>
      <c r="G6" s="33">
        <f>SUM(B6:F6)</f>
        <v/>
      </c>
    </row>
    <row r="7">
      <c r="A7" s="11" t="inlineStr">
        <is>
          <t>(−) Gastos de campaña (marketing/logística)</t>
        </is>
      </c>
      <c r="B7" s="14">
        <f>-B5*Supuestos!$B$12</f>
        <v/>
      </c>
      <c r="C7" s="14">
        <f>-C5*Supuestos!$B$12</f>
        <v/>
      </c>
      <c r="D7" s="14">
        <f>-D5*Supuestos!$B$12</f>
        <v/>
      </c>
      <c r="E7" s="14">
        <f>-E5*Supuestos!$B$12</f>
        <v/>
      </c>
      <c r="F7" s="14">
        <f>-F5*Supuestos!$B$12</f>
        <v/>
      </c>
      <c r="G7" s="33">
        <f>SUM(B7:F7)</f>
        <v/>
      </c>
    </row>
    <row r="8">
      <c r="A8" s="11" t="inlineStr">
        <is>
          <t>(−) Cuota préstamo 70k</t>
        </is>
      </c>
      <c r="B8" s="14">
        <f>-Supuestos!$B$13</f>
        <v/>
      </c>
      <c r="C8" s="14">
        <f>-Supuestos!$B$13</f>
        <v/>
      </c>
      <c r="D8" s="14">
        <f>-Supuestos!$B$13</f>
        <v/>
      </c>
      <c r="E8" s="14">
        <f>-Supuestos!$B$13</f>
        <v/>
      </c>
      <c r="F8" s="14">
        <f>-Supuestos!$B$13</f>
        <v/>
      </c>
      <c r="G8" s="33">
        <f>SUM(B8:F8)</f>
        <v/>
      </c>
    </row>
    <row r="9">
      <c r="A9" s="34" t="inlineStr">
        <is>
          <t>Flujo de caja libre del mes</t>
        </is>
      </c>
      <c r="B9" s="31">
        <f>SUM(B5:B8)</f>
        <v/>
      </c>
      <c r="C9" s="31">
        <f>SUM(C5:C8)</f>
        <v/>
      </c>
      <c r="D9" s="31">
        <f>SUM(D5:D8)</f>
        <v/>
      </c>
      <c r="E9" s="31">
        <f>SUM(E5:E8)</f>
        <v/>
      </c>
      <c r="F9" s="31">
        <f>SUM(F5:F8)</f>
        <v/>
      </c>
      <c r="G9" s="31">
        <f>SUM(B9:F9)</f>
        <v/>
      </c>
    </row>
    <row r="10">
      <c r="A10" s="11" t="inlineStr">
        <is>
          <t>Flujo acumulado</t>
        </is>
      </c>
      <c r="B10" s="14">
        <f>B9</f>
        <v/>
      </c>
      <c r="C10" s="14">
        <f>B10+C9</f>
        <v/>
      </c>
      <c r="D10" s="14">
        <f>C10+D9</f>
        <v/>
      </c>
      <c r="E10" s="14">
        <f>D10+E9</f>
        <v/>
      </c>
      <c r="F10" s="14">
        <f>E10+F9</f>
        <v/>
      </c>
    </row>
    <row r="11">
      <c r="A11" s="11" t="inlineStr">
        <is>
          <t>Saldo vivo de la línea (fin de mes)</t>
        </is>
      </c>
      <c r="B11" s="14">
        <f>MAX(0,-B10)</f>
        <v/>
      </c>
      <c r="C11" s="14">
        <f>MAX(0,-C10)</f>
        <v/>
      </c>
      <c r="D11" s="14">
        <f>MAX(0,-D10)</f>
        <v/>
      </c>
      <c r="E11" s="14">
        <f>MAX(0,-E10)</f>
        <v/>
      </c>
      <c r="F11" s="14">
        <f>MAX(0,-F10)</f>
        <v/>
      </c>
    </row>
    <row r="12">
      <c r="A12" s="11" t="inlineStr">
        <is>
          <t>Disposición de la línea</t>
        </is>
      </c>
      <c r="B12" s="14">
        <f>MAX(0,B11-0)</f>
        <v/>
      </c>
      <c r="C12" s="14">
        <f>MAX(0,C11-B11)</f>
        <v/>
      </c>
      <c r="D12" s="14">
        <f>MAX(0,D11-C11)</f>
        <v/>
      </c>
      <c r="E12" s="14">
        <f>MAX(0,E11-D11)</f>
        <v/>
      </c>
      <c r="F12" s="14">
        <f>MAX(0,F11-E11)</f>
        <v/>
      </c>
      <c r="G12" s="33">
        <f>SUM(B12:F12)</f>
        <v/>
      </c>
    </row>
    <row r="13">
      <c r="A13" s="11" t="inlineStr">
        <is>
          <t>Devolución de la línea</t>
        </is>
      </c>
      <c r="B13" s="14">
        <f>MAX(0,0-B11)</f>
        <v/>
      </c>
      <c r="C13" s="14">
        <f>MAX(0,B11-C11)</f>
        <v/>
      </c>
      <c r="D13" s="14">
        <f>MAX(0,C11-D11)</f>
        <v/>
      </c>
      <c r="E13" s="14">
        <f>MAX(0,D11-E11)</f>
        <v/>
      </c>
      <c r="F13" s="14">
        <f>MAX(0,E11-F11)</f>
        <v/>
      </c>
      <c r="G13" s="33">
        <f>SUM(B13:F13)</f>
        <v/>
      </c>
    </row>
    <row r="14">
      <c r="A14" s="11" t="inlineStr">
        <is>
          <t>Caja acumulada tras servicio de la línea</t>
        </is>
      </c>
      <c r="B14" s="14">
        <f>MAX(0,B10)</f>
        <v/>
      </c>
      <c r="C14" s="14">
        <f>MAX(0,C10)</f>
        <v/>
      </c>
      <c r="D14" s="14">
        <f>MAX(0,D10)</f>
        <v/>
      </c>
      <c r="E14" s="14">
        <f>MAX(0,E10)</f>
        <v/>
      </c>
      <c r="F14" s="14">
        <f>MAX(0,F10)</f>
        <v/>
      </c>
    </row>
    <row r="15">
      <c r="A15" s="35" t="inlineStr">
        <is>
          <t>Pico de disposición de la línea (necesidad)</t>
        </is>
      </c>
      <c r="B15" s="36">
        <f>MAX(B11:F11)</f>
        <v/>
      </c>
    </row>
    <row r="17">
      <c r="A17" s="7" t="inlineStr">
        <is>
          <t>Lectura: la línea se dispone en octubre para comprar el stock antes del pico y queda devuelta a finales de diciembre con el cobro de Black Friday y Navidad.</t>
        </is>
      </c>
    </row>
  </sheetData>
  <mergeCells count="1">
    <mergeCell ref="A17:G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</cols>
  <sheetData>
    <row r="1">
      <c r="A1" s="8" t="inlineStr">
        <is>
          <t>Escenarios y ratio de cobertura</t>
        </is>
      </c>
    </row>
    <row r="2">
      <c r="A2" s="9" t="inlineStr">
        <is>
          <t>Base vs conservador (−25% de ventas de campaña). Todo deriva de «Supuestos».</t>
        </is>
      </c>
    </row>
    <row r="4">
      <c r="A4" s="10" t="inlineStr">
        <is>
          <t>Concepto</t>
        </is>
      </c>
      <c r="B4" s="10" t="inlineStr">
        <is>
          <t>Escenario base</t>
        </is>
      </c>
      <c r="C4" s="10" t="inlineStr">
        <is>
          <t>Conservador (−25%)</t>
        </is>
      </c>
    </row>
    <row r="5">
      <c r="A5" s="11" t="inlineStr">
        <is>
          <t>Ventas de campaña (€)</t>
        </is>
      </c>
      <c r="B5" s="28">
        <f>Supuestos!$B$6</f>
        <v/>
      </c>
      <c r="C5" s="28">
        <f>Supuestos!$B$6*(1-Supuestos!$B$7)</f>
        <v/>
      </c>
    </row>
    <row r="6">
      <c r="A6" s="11" t="inlineStr">
        <is>
          <t>Coste de mercancía total (€)</t>
        </is>
      </c>
      <c r="B6" s="14">
        <f>B5*(Supuestos!$B$8*Supuestos!$B$10+Supuestos!$B$9*Supuestos!$B$11)</f>
        <v/>
      </c>
      <c r="C6" s="14">
        <f>C5*(Supuestos!$B$8*Supuestos!$B$10+Supuestos!$B$9*Supuestos!$B$11)</f>
        <v/>
      </c>
    </row>
    <row r="7">
      <c r="A7" s="11" t="inlineStr">
        <is>
          <t>Gastos de campaña (€)</t>
        </is>
      </c>
      <c r="B7" s="14">
        <f>B5*Supuestos!$B$12</f>
        <v/>
      </c>
      <c r="C7" s="14">
        <f>C5*Supuestos!$B$12</f>
        <v/>
      </c>
    </row>
    <row r="8">
      <c r="A8" s="34" t="inlineStr">
        <is>
          <t>Flujo de caja operativo de campaña (€)</t>
        </is>
      </c>
      <c r="B8" s="31">
        <f>B5-B6-B7</f>
        <v/>
      </c>
      <c r="C8" s="31">
        <f>C5-C6-C7</f>
        <v/>
      </c>
    </row>
    <row r="9">
      <c r="A9" s="11" t="inlineStr">
        <is>
          <t>Pico de disposición de la línea (€)</t>
        </is>
      </c>
      <c r="B9" s="14">
        <f>-(B5*Supuestos!$B$18-B6*Supuestos!$C$18-B5*Supuestos!$B$18*Supuestos!$B$12-Supuestos!$B$13)</f>
        <v/>
      </c>
      <c r="C9" s="14">
        <f>-(C5*Supuestos!$B$18-C6*Supuestos!$C$18-C5*Supuestos!$B$18*Supuestos!$B$12-Supuestos!$B$13)</f>
        <v/>
      </c>
    </row>
    <row r="10">
      <c r="A10" s="11" t="inlineStr">
        <is>
          <t>Servicio del préstamo 70k en el periodo (€)</t>
        </is>
      </c>
      <c r="B10" s="28">
        <f>Supuestos!$B$13*Supuestos!$B$14</f>
        <v/>
      </c>
      <c r="C10" s="28">
        <f>Supuestos!$B$13*Supuestos!$B$14</f>
        <v/>
      </c>
    </row>
    <row r="11">
      <c r="A11" s="11" t="inlineStr">
        <is>
          <t>Obligación total a cubrir (€)</t>
        </is>
      </c>
      <c r="B11" s="14">
        <f>B9+B10</f>
        <v/>
      </c>
      <c r="C11" s="14">
        <f>C9+C10</f>
        <v/>
      </c>
    </row>
    <row r="12">
      <c r="A12" s="34" t="inlineStr">
        <is>
          <t>Ratio de cobertura</t>
        </is>
      </c>
      <c r="B12" s="37">
        <f>B8/B11</f>
        <v/>
      </c>
      <c r="C12" s="37">
        <f>C8/C11</f>
        <v/>
      </c>
    </row>
    <row r="14" ht="40" customHeight="1">
      <c r="A14" s="7" t="inlineStr">
        <is>
          <t>El flujo de caja operativo de campaña es cobros − compras de stock − gastos de campaña (antes del servicio de deuda). Incluso con −25% de ventas la cobertura supera 1,5x tras atender el préstamo de 70k.</t>
        </is>
      </c>
    </row>
    <row r="15"/>
  </sheetData>
  <mergeCells count="1">
    <mergeCell ref="A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2026-08-26T07:23:36Z</dcterms:created>
  <dcterms:modified xmlns:dcterms="http://purl.org/dc/terms/" xmlns:xsi="http://www.w3.org/2001/XMLSchema-instance" xsi:type="dcterms:W3CDTF">2026-08-26T07:23:36Z</dcterms:modified>
</cp:coreProperties>
</file>