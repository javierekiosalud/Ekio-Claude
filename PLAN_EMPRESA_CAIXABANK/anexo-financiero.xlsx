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Supuestos" sheetId="3" state="visible" r:id="rId3"/>
    <sheet xmlns:r="http://schemas.openxmlformats.org/officeDocument/2006/relationships" name="Necesidad de circulante" sheetId="4" state="visible" r:id="rId4"/>
    <sheet xmlns:r="http://schemas.openxmlformats.org/officeDocument/2006/relationships" name="Flujo de caja campaña" sheetId="5" state="visible" r:id="rId5"/>
    <sheet xmlns:r="http://schemas.openxmlformats.org/officeDocument/2006/relationships" name="E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€;(#,##0) €"/>
    <numFmt numFmtId="165" formatCode="0.0%"/>
    <numFmt numFmtId="166" formatCode="#,##0 €;(#,##0) €;-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000000"/>
      <sz val="13"/>
    </font>
    <font>
      <name val="Arial"/>
      <color rgb="001F3864"/>
      <sz val="12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color rgb="00C00000"/>
      <sz val="11"/>
    </font>
    <font>
      <name val="Arial"/>
      <b val="1"/>
      <color rgb="001F3864"/>
      <sz val="13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10" fillId="0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right" vertical="center"/>
    </xf>
    <xf numFmtId="164" fontId="12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1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5" fontId="1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0" fontId="16" fillId="0" borderId="0" pivotButton="0" quotePrefix="0" xfId="0"/>
    <xf numFmtId="164" fontId="15" fillId="0" borderId="0" applyAlignment="1" pivotButton="0" quotePrefix="0" xfId="0">
      <alignment horizontal="right" vertical="center"/>
    </xf>
    <xf numFmtId="166" fontId="15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EKIO BIOTECH, S.L.U.</t>
        </is>
      </c>
    </row>
    <row r="3">
      <c r="B3" s="2" t="inlineStr">
        <is>
          <t>Anexo financiero del Plan de Empresa</t>
        </is>
      </c>
    </row>
    <row r="4">
      <c r="B4" s="3" t="inlineStr">
        <is>
          <t>Cuenta de crédito · Circulante de campaña Q4 2026 · CaixaBank</t>
        </is>
      </c>
    </row>
    <row r="6">
      <c r="B6" s="4" t="inlineStr">
        <is>
          <t>CIF: B93860096</t>
        </is>
      </c>
    </row>
    <row r="7">
      <c r="B7" s="4" t="inlineStr">
        <is>
          <t>Domicilio: Barrio de Arriba 39, 49327 Cubo de Benavente (Zamora)</t>
        </is>
      </c>
    </row>
    <row r="8">
      <c r="B8" s="4" t="inlineStr">
        <is>
          <t>Socio único y administrador: Francisco Javier Andrés Andrés (NIF 09338115T)</t>
        </is>
      </c>
    </row>
    <row r="9">
      <c r="B9" s="5" t="inlineStr">
        <is>
          <t>Fecha: 30 de agosto de 2026</t>
        </is>
      </c>
    </row>
    <row r="11">
      <c r="B11" s="6" t="inlineStr">
        <is>
          <t>OBJETO</t>
        </is>
      </c>
    </row>
    <row r="12" ht="58" customHeight="1">
      <c r="B12" s="7" t="inlineStr">
        <is>
          <t>Justificar la necesidad y la capacidad de devolución de una línea de circulante para financiar la compra anticipada de existencias (Spiro, Ekio Light y accesorios de medición) con la que atender la campaña de Q4 2026 (Black Friday + Navidad + Reyes). El importe que figura como solicitado es 250.000 €; el límite y la estructura los dimensiona la entidad.</t>
        </is>
      </c>
    </row>
    <row r="14">
      <c r="B14" s="8" t="inlineStr">
        <is>
          <t>AVISOS</t>
        </is>
      </c>
    </row>
    <row r="15" ht="40" customHeight="1">
      <c r="B15" s="7" t="inlineStr">
        <is>
          <t>· El histórico de 2023 está incompleto: solo consta la facturación (390.000 €); el margen bruto y el resultado de ese ejercicio quedan como [PENDIENTE].</t>
        </is>
      </c>
    </row>
    <row r="16" ht="40" customHeight="1">
      <c r="B16" s="7" t="inlineStr">
        <is>
          <t>· Todas las cifras de P&amp;L provienen del P&amp;L de gestión de Holded (negocio del autónomo, continuado por la SLU) y deben contrastarse con el Holded actual antes de presentar.</t>
        </is>
      </c>
    </row>
    <row r="17" ht="40" customHeight="1">
      <c r="B17" s="7" t="inlineStr">
        <is>
          <t>· Las celdas marcadas en AMARILLO son [PENDIENTE] de confirmar por Javier. Código de color: azul = input · negro = fórmula · verde = enlace entre hojas · amarillo = pendiente/supuesto clave.</t>
        </is>
      </c>
    </row>
    <row r="19">
      <c r="B19" s="6" t="inlineStr">
        <is>
          <t>CONTENIDO</t>
        </is>
      </c>
    </row>
    <row r="20">
      <c r="B20" s="9" t="inlineStr">
        <is>
          <t>1. Portada</t>
        </is>
      </c>
    </row>
    <row r="21">
      <c r="B21" s="9" t="inlineStr">
        <is>
          <t>2. Histórico (2023 – jun 2026)</t>
        </is>
      </c>
    </row>
    <row r="22">
      <c r="B22" s="9" t="inlineStr">
        <is>
          <t>3. Supuestos (parámetros editables)</t>
        </is>
      </c>
    </row>
    <row r="23">
      <c r="B23" s="9" t="inlineStr">
        <is>
          <t>4. Necesidad de circulante</t>
        </is>
      </c>
    </row>
    <row r="24">
      <c r="B24" s="9" t="inlineStr">
        <is>
          <t>5. Flujo de caja de campaña (oct-2026 → feb-2027)</t>
        </is>
      </c>
    </row>
    <row r="25">
      <c r="B25" s="9" t="inlineStr">
        <is>
          <t>6. Escenarios (A base · B conservador · C disposición máxima)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0" t="inlineStr">
        <is>
          <t>HISTÓRICO DE RESULTADOS (P&amp;L de gestión Holded)</t>
        </is>
      </c>
    </row>
    <row r="3">
      <c r="B3" s="11" t="inlineStr">
        <is>
          <t>Fuente: P&amp;L Holded del negocio (autónomo continuado por la SLU). Contrastar con Holded actual.</t>
        </is>
      </c>
    </row>
    <row r="5">
      <c r="B5" s="12" t="inlineStr">
        <is>
          <t>Ejercicio</t>
        </is>
      </c>
      <c r="C5" s="12" t="inlineStr">
        <is>
          <t>Facturación (€)</t>
        </is>
      </c>
      <c r="D5" s="12" t="inlineStr">
        <is>
          <t>Margen bruto</t>
        </is>
      </c>
      <c r="E5" s="12" t="inlineStr">
        <is>
          <t>Resultado (€)</t>
        </is>
      </c>
    </row>
    <row r="6">
      <c r="B6" s="13" t="inlineStr">
        <is>
          <t>2023 (jun–dic)</t>
        </is>
      </c>
      <c r="C6" s="14" t="n">
        <v>390000</v>
      </c>
      <c r="D6" s="15" t="inlineStr">
        <is>
          <t>n.d. [PENDIENTE]</t>
        </is>
      </c>
      <c r="E6" s="15" t="inlineStr">
        <is>
          <t>n.d. [PENDIENTE]</t>
        </is>
      </c>
    </row>
    <row r="7">
      <c r="B7" s="13" t="inlineStr">
        <is>
          <t>2024</t>
        </is>
      </c>
      <c r="C7" s="14" t="n">
        <v>534504</v>
      </c>
      <c r="D7" s="16" t="n">
        <v>0.384</v>
      </c>
      <c r="E7" s="14" t="n">
        <v>52493</v>
      </c>
    </row>
    <row r="8">
      <c r="B8" s="13" t="inlineStr">
        <is>
          <t>2025</t>
        </is>
      </c>
      <c r="C8" s="14" t="n">
        <v>537845</v>
      </c>
      <c r="D8" s="16" t="n">
        <v>0.245</v>
      </c>
      <c r="E8" s="14" t="n">
        <v>19301</v>
      </c>
    </row>
    <row r="9">
      <c r="B9" s="13" t="inlineStr">
        <is>
          <t>2026 (H1, ene–jun)</t>
        </is>
      </c>
      <c r="C9" s="14" t="n">
        <v>207815</v>
      </c>
      <c r="D9" s="16" t="n">
        <v>0.5590000000000001</v>
      </c>
      <c r="E9" s="14" t="n">
        <v>78738</v>
      </c>
    </row>
    <row r="10">
      <c r="B10" s="17" t="inlineStr">
        <is>
          <t>ACUMULADA 2023 – jun 2026</t>
        </is>
      </c>
      <c r="C10" s="18">
        <f>SUM(C6:C9)</f>
        <v/>
      </c>
      <c r="D10" s="19" t="n"/>
      <c r="E10" s="19" t="n"/>
    </row>
    <row r="12" ht="40" customHeight="1">
      <c r="B12" s="20" t="inlineStr">
        <is>
          <t>Nota: la cifra acumulada (≈ 1,67 M€) NO es facturación anual; es la suma de 2023 (jun–dic) + 2024 + 2025 + H1 2026. 2024, 2025 y H1 2026 cerraron en beneficios.</t>
        </is>
      </c>
    </row>
  </sheetData>
  <mergeCells count="1">
    <mergeCell ref="B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20" customWidth="1" min="3" max="3"/>
    <col width="40" customWidth="1" min="4" max="4"/>
  </cols>
  <sheetData>
    <row r="1">
      <c r="A1" s="10" t="inlineStr">
        <is>
          <t>SUPUESTOS — Parámetros editables</t>
        </is>
      </c>
    </row>
    <row r="2">
      <c r="A2" s="11" t="inlineStr">
        <is>
          <t>Azul = input editable · Amarillo = [PENDIENTE] confirmar · Las hojas 2–6 referencian esta hoja.</t>
        </is>
      </c>
    </row>
    <row r="3">
      <c r="A3" s="12" t="inlineStr">
        <is>
          <t>Parámetro</t>
        </is>
      </c>
      <c r="B3" s="12" t="inlineStr">
        <is>
          <t>Valor</t>
        </is>
      </c>
      <c r="C3" s="12" t="inlineStr">
        <is>
          <t>Unidad</t>
        </is>
      </c>
      <c r="D3" s="12" t="inlineStr">
        <is>
          <t>Notas / fuente</t>
        </is>
      </c>
    </row>
    <row r="4">
      <c r="A4" s="21" t="inlineStr">
        <is>
          <t>1 · Operación</t>
        </is>
      </c>
      <c r="B4" s="22" t="n"/>
      <c r="C4" s="22" t="n"/>
      <c r="D4" s="22" t="n"/>
    </row>
    <row r="5">
      <c r="A5" s="23" t="inlineStr">
        <is>
          <t>Importe solicitado de la línea</t>
        </is>
      </c>
      <c r="B5" s="24" t="n">
        <v>250000</v>
      </c>
      <c r="C5" s="23" t="inlineStr">
        <is>
          <t>€</t>
        </is>
      </c>
      <c r="D5" s="23" t="inlineStr">
        <is>
          <t>Cifra que la empresa desea solicitar (la dimensiona el banco)</t>
        </is>
      </c>
    </row>
    <row r="6">
      <c r="A6" s="23" t="inlineStr">
        <is>
          <t>Objetivo de ventas campaña Q4 2026</t>
        </is>
      </c>
      <c r="B6" s="25" t="n">
        <v>350000</v>
      </c>
      <c r="C6" s="23" t="inlineStr">
        <is>
          <t>€</t>
        </is>
      </c>
      <c r="D6" s="23" t="inlineStr">
        <is>
          <t>[PENDIENTE] confirmar objetivo de campaña real</t>
        </is>
      </c>
    </row>
    <row r="7">
      <c r="A7" s="23" t="inlineStr">
        <is>
          <t>Campaña equivalente año anterior</t>
        </is>
      </c>
      <c r="B7" s="24" t="n">
        <v>275000</v>
      </c>
      <c r="C7" s="23" t="inlineStr">
        <is>
          <t>€</t>
        </is>
      </c>
      <c r="D7" s="23" t="inlineStr">
        <is>
          <t>BF+Navidad+Reyes año anterior (dato Javier)</t>
        </is>
      </c>
    </row>
    <row r="8">
      <c r="A8" s="23" t="inlineStr">
        <is>
          <t>Crecimiento objetivo vs año anterior</t>
        </is>
      </c>
      <c r="B8" s="26">
        <f>B6/B7-1</f>
        <v/>
      </c>
      <c r="C8" s="23" t="inlineStr">
        <is>
          <t>%</t>
        </is>
      </c>
      <c r="D8" s="23" t="inlineStr">
        <is>
          <t>Fórmula</t>
        </is>
      </c>
    </row>
    <row r="9">
      <c r="A9" s="21" t="inlineStr">
        <is>
          <t>2 · Mix por categoría</t>
        </is>
      </c>
      <c r="B9" s="22" t="n"/>
      <c r="C9" s="22" t="n"/>
      <c r="D9" s="22" t="n"/>
    </row>
    <row r="10">
      <c r="A10" s="27" t="inlineStr">
        <is>
          <t>Categoría</t>
        </is>
      </c>
      <c r="B10" s="28" t="inlineStr">
        <is>
          <t>% de ventas</t>
        </is>
      </c>
      <c r="C10" s="28" t="inlineStr">
        <is>
          <t>Coste mercancía (COGS %)</t>
        </is>
      </c>
    </row>
    <row r="11">
      <c r="A11" s="23" t="inlineStr">
        <is>
          <t>Spiro (distribución)</t>
        </is>
      </c>
      <c r="B11" s="29" t="n">
        <v>0.65</v>
      </c>
      <c r="C11" s="30" t="n">
        <v>0.6</v>
      </c>
      <c r="D11" s="23" t="inlineStr">
        <is>
          <t>[PENDIENTE] coste real por categoría</t>
        </is>
      </c>
    </row>
    <row r="12">
      <c r="A12" s="23" t="inlineStr">
        <is>
          <t>Ekio Light (marca propia)</t>
        </is>
      </c>
      <c r="B12" s="29" t="n">
        <v>0.25</v>
      </c>
      <c r="C12" s="30" t="n">
        <v>0.45</v>
      </c>
      <c r="D12" s="23" t="inlineStr">
        <is>
          <t>[PENDIENTE] coste real por categoría</t>
        </is>
      </c>
    </row>
    <row r="13">
      <c r="A13" s="23" t="inlineStr">
        <is>
          <t>Accesorios de medición</t>
        </is>
      </c>
      <c r="B13" s="29" t="n">
        <v>0.1</v>
      </c>
      <c r="C13" s="30" t="n">
        <v>0.55</v>
      </c>
      <c r="D13" s="23" t="inlineStr">
        <is>
          <t>[PENDIENTE] coste real por categoría</t>
        </is>
      </c>
    </row>
    <row r="14">
      <c r="A14" s="23" t="inlineStr">
        <is>
          <t>Control (debe sumar 100%)</t>
        </is>
      </c>
      <c r="B14" s="31">
        <f>SUM(B11:B13)</f>
        <v/>
      </c>
    </row>
    <row r="15">
      <c r="A15" s="21" t="inlineStr">
        <is>
          <t>3 · Distribución mensual de ventas</t>
        </is>
      </c>
      <c r="B15" s="22" t="n"/>
      <c r="C15" s="22" t="n"/>
      <c r="D15" s="22" t="n"/>
    </row>
    <row r="16">
      <c r="A16" s="23" t="inlineStr">
        <is>
          <t>oct-2026</t>
        </is>
      </c>
      <c r="B16" s="29" t="n">
        <v>0.15</v>
      </c>
    </row>
    <row r="17">
      <c r="A17" s="23" t="inlineStr">
        <is>
          <t>nov-2026</t>
        </is>
      </c>
      <c r="B17" s="29" t="n">
        <v>0.35</v>
      </c>
    </row>
    <row r="18">
      <c r="A18" s="23" t="inlineStr">
        <is>
          <t>dic-2026</t>
        </is>
      </c>
      <c r="B18" s="29" t="n">
        <v>0.3</v>
      </c>
    </row>
    <row r="19">
      <c r="A19" s="23" t="inlineStr">
        <is>
          <t>ene-2027</t>
        </is>
      </c>
      <c r="B19" s="29" t="n">
        <v>0.15</v>
      </c>
    </row>
    <row r="20">
      <c r="A20" s="23" t="inlineStr">
        <is>
          <t>feb-2027</t>
        </is>
      </c>
      <c r="B20" s="29" t="n">
        <v>0.05</v>
      </c>
    </row>
    <row r="21">
      <c r="A21" s="23" t="inlineStr">
        <is>
          <t>Control (100%)</t>
        </is>
      </c>
      <c r="B21" s="31">
        <f>SUM(B16:B20)</f>
        <v/>
      </c>
    </row>
    <row r="22">
      <c r="A22" s="21" t="inlineStr">
        <is>
          <t>4 · Compra de stock escalonada (pago en el mes de compra)</t>
        </is>
      </c>
      <c r="B22" s="22" t="n"/>
      <c r="C22" s="22" t="n"/>
      <c r="D22" s="22" t="n"/>
    </row>
    <row r="23">
      <c r="A23" s="23" t="inlineStr">
        <is>
          <t>oct-2026</t>
        </is>
      </c>
      <c r="B23" s="29" t="n">
        <v>0.6</v>
      </c>
    </row>
    <row r="24">
      <c r="A24" s="23" t="inlineStr">
        <is>
          <t>nov-2026</t>
        </is>
      </c>
      <c r="B24" s="29" t="n">
        <v>0.3</v>
      </c>
    </row>
    <row r="25">
      <c r="A25" s="23" t="inlineStr">
        <is>
          <t>dic-2026</t>
        </is>
      </c>
      <c r="B25" s="29" t="n">
        <v>0.1</v>
      </c>
    </row>
    <row r="26">
      <c r="A26" s="23" t="inlineStr">
        <is>
          <t>Control (100%)</t>
        </is>
      </c>
      <c r="B26" s="31">
        <f>SUM(B23:B25)</f>
        <v/>
      </c>
    </row>
    <row r="27">
      <c r="A27" s="21" t="inlineStr">
        <is>
          <t>5 · Otros parámetros</t>
        </is>
      </c>
      <c r="B27" s="22" t="n"/>
      <c r="C27" s="22" t="n"/>
      <c r="D27" s="22" t="n"/>
    </row>
    <row r="28">
      <c r="A28" s="23" t="inlineStr">
        <is>
          <t>Gastos de campaña (marketing+logística)</t>
        </is>
      </c>
      <c r="B28" s="29" t="n">
        <v>0.12</v>
      </c>
      <c r="C28" s="23" t="inlineStr">
        <is>
          <t>% ventas</t>
        </is>
      </c>
      <c r="D28" s="23" t="inlineStr">
        <is>
          <t>Sobre las ventas del mes</t>
        </is>
      </c>
    </row>
    <row r="29">
      <c r="A29" s="23" t="inlineStr">
        <is>
          <t>Cuota mensual préstamo 70.000 € vivo</t>
        </is>
      </c>
      <c r="B29" s="25" t="n">
        <v>1350</v>
      </c>
      <c r="C29" s="23" t="inlineStr">
        <is>
          <t>€/mes</t>
        </is>
      </c>
      <c r="D29" s="23" t="inlineStr">
        <is>
          <t>[PENDIENTE] provisional; confirmar cuadro de amortización</t>
        </is>
      </c>
    </row>
    <row r="30">
      <c r="A30" s="23" t="inlineStr">
        <is>
          <t>Meses de campaña (servicio de préstamo)</t>
        </is>
      </c>
      <c r="B30" s="32" t="n">
        <v>5</v>
      </c>
      <c r="C30" s="23" t="inlineStr">
        <is>
          <t>meses</t>
        </is>
      </c>
      <c r="D30" s="23" t="inlineStr">
        <is>
          <t>oct-2026 → feb-2027</t>
        </is>
      </c>
    </row>
    <row r="31">
      <c r="A31" s="23" t="inlineStr">
        <is>
          <t>Cobro D2C</t>
        </is>
      </c>
      <c r="B31" s="33" t="inlineStr">
        <is>
          <t>Mes de la venta</t>
        </is>
      </c>
      <c r="D31" s="23" t="inlineStr">
        <is>
          <t>Venta directa: se cobra en el mes</t>
        </is>
      </c>
    </row>
    <row r="32">
      <c r="A32" s="23" t="inlineStr">
        <is>
          <t>Plazo de pago a proveedor</t>
        </is>
      </c>
      <c r="B32" s="34" t="inlineStr">
        <is>
          <t>[PENDIENTE]</t>
        </is>
      </c>
      <c r="D32" s="23" t="inlineStr">
        <is>
          <t>[PENDIENTE] confirmar días de pago</t>
        </is>
      </c>
    </row>
    <row r="33">
      <c r="A33" s="23" t="inlineStr">
        <is>
          <t>Reducción de ventas escenario B</t>
        </is>
      </c>
      <c r="B33" s="29" t="n">
        <v>-0.25</v>
      </c>
      <c r="C33" s="23" t="inlineStr">
        <is>
          <t>%</t>
        </is>
      </c>
      <c r="D33" s="23" t="inlineStr">
        <is>
          <t>Escenario conservador: compras y gastos escalan con ventas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4" customWidth="1" min="5" max="5"/>
  </cols>
  <sheetData>
    <row r="1">
      <c r="A1" s="10" t="inlineStr">
        <is>
          <t>NECESIDAD DE CIRCULANTE</t>
        </is>
      </c>
    </row>
    <row r="3">
      <c r="A3" s="27" t="inlineStr">
        <is>
          <t>Importe solicitado de la línea</t>
        </is>
      </c>
      <c r="B3" s="35">
        <f>Supuestos!B5</f>
        <v/>
      </c>
    </row>
    <row r="5">
      <c r="A5" s="12" t="inlineStr">
        <is>
          <t>Categoría</t>
        </is>
      </c>
      <c r="B5" s="12" t="inlineStr">
        <is>
          <t>Ventas campaña (€)</t>
        </is>
      </c>
      <c r="C5" s="12" t="inlineStr">
        <is>
          <t>COGS %</t>
        </is>
      </c>
      <c r="D5" s="12" t="inlineStr">
        <is>
          <t>Coste de stock (€)</t>
        </is>
      </c>
    </row>
    <row r="6">
      <c r="A6" s="13" t="inlineStr">
        <is>
          <t>Spiro (distribución)</t>
        </is>
      </c>
      <c r="B6" s="36">
        <f>Supuestos!$B$6*Supuestos!B11</f>
        <v/>
      </c>
      <c r="C6" s="37">
        <f>Supuestos!C11</f>
        <v/>
      </c>
      <c r="D6" s="38">
        <f>B6*C6</f>
        <v/>
      </c>
    </row>
    <row r="7">
      <c r="A7" s="13" t="inlineStr">
        <is>
          <t>Ekio Light (marca propia)</t>
        </is>
      </c>
      <c r="B7" s="36">
        <f>Supuestos!$B$6*Supuestos!B12</f>
        <v/>
      </c>
      <c r="C7" s="37">
        <f>Supuestos!C12</f>
        <v/>
      </c>
      <c r="D7" s="38">
        <f>B7*C7</f>
        <v/>
      </c>
    </row>
    <row r="8">
      <c r="A8" s="13" t="inlineStr">
        <is>
          <t>Accesorios de medición</t>
        </is>
      </c>
      <c r="B8" s="36">
        <f>Supuestos!$B$6*Supuestos!B13</f>
        <v/>
      </c>
      <c r="C8" s="37">
        <f>Supuestos!C13</f>
        <v/>
      </c>
      <c r="D8" s="38">
        <f>B8*C8</f>
        <v/>
      </c>
    </row>
    <row r="9">
      <c r="A9" s="17" t="inlineStr">
        <is>
          <t>TOTAL</t>
        </is>
      </c>
      <c r="B9" s="18">
        <f>SUM(B6:B8)</f>
        <v/>
      </c>
      <c r="C9" s="19" t="n"/>
      <c r="D9" s="18">
        <f>SUM(D6:D8)</f>
        <v/>
      </c>
    </row>
    <row r="11">
      <c r="A11" s="27" t="inlineStr">
        <is>
          <t>Coste total del stock de campaña</t>
        </is>
      </c>
      <c r="B11" s="39">
        <f>D9</f>
        <v/>
      </c>
    </row>
    <row r="12">
      <c r="A12" s="27" t="inlineStr">
        <is>
          <t>Headroom (línea − coste de stock)</t>
        </is>
      </c>
      <c r="B12" s="39">
        <f>B3-B11</f>
        <v/>
      </c>
    </row>
    <row r="14" ht="55" customHeight="1">
      <c r="A14" s="7" t="inlineStr">
        <is>
          <t>El headroom (≈ 54.875 €) da margen para reposiciones durante la propia campaña (roturas de stock en los picos de Black Friday y Reyes) y para el stock de arranque de Q1 2027, sin volver a disponer capital de la línea fuera del ciclo.</t>
        </is>
      </c>
    </row>
  </sheetData>
  <mergeCells count="1"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0" t="inlineStr">
        <is>
          <t>FLUJO DE CAJA DE CAMPAÑA — Escenario A (base, compra escalonada)</t>
        </is>
      </c>
    </row>
    <row r="3">
      <c r="A3" s="12" t="inlineStr">
        <is>
          <t>Concepto (€)</t>
        </is>
      </c>
      <c r="B3" s="12" t="inlineStr">
        <is>
          <t>oct-2026</t>
        </is>
      </c>
      <c r="C3" s="12" t="inlineStr">
        <is>
          <t>nov-2026</t>
        </is>
      </c>
      <c r="D3" s="12" t="inlineStr">
        <is>
          <t>dic-2026</t>
        </is>
      </c>
      <c r="E3" s="12" t="inlineStr">
        <is>
          <t>ene-2027</t>
        </is>
      </c>
      <c r="F3" s="12" t="inlineStr">
        <is>
          <t>feb-2027</t>
        </is>
      </c>
      <c r="G3" s="12" t="inlineStr">
        <is>
          <t>Total</t>
        </is>
      </c>
    </row>
    <row r="4">
      <c r="A4" s="23" t="inlineStr">
        <is>
          <t>Cobros D2C (ventas del mes)</t>
        </is>
      </c>
      <c r="B4" s="41">
        <f>Supuestos!$B$6*Supuestos!B16</f>
        <v/>
      </c>
      <c r="C4" s="41">
        <f>Supuestos!$B$6*Supuestos!B17</f>
        <v/>
      </c>
      <c r="D4" s="41">
        <f>Supuestos!$B$6*Supuestos!B18</f>
        <v/>
      </c>
      <c r="E4" s="41">
        <f>Supuestos!$B$6*Supuestos!B19</f>
        <v/>
      </c>
      <c r="F4" s="41">
        <f>Supuestos!$B$6*Supuestos!B20</f>
        <v/>
      </c>
      <c r="G4" s="39">
        <f>SUM(B4:F4)</f>
        <v/>
      </c>
    </row>
    <row r="5">
      <c r="A5" s="23" t="inlineStr">
        <is>
          <t>Compra de stock (pago)</t>
        </is>
      </c>
      <c r="B5" s="42">
        <f>'Necesidad de circulante'!$D$9*Supuestos!B23</f>
        <v/>
      </c>
      <c r="C5" s="42">
        <f>'Necesidad de circulante'!$D$9*Supuestos!B24</f>
        <v/>
      </c>
      <c r="D5" s="42">
        <f>'Necesidad de circulante'!$D$9*Supuestos!B25</f>
        <v/>
      </c>
      <c r="E5" s="43" t="n">
        <v>0</v>
      </c>
      <c r="F5" s="43" t="n">
        <v>0</v>
      </c>
      <c r="G5" s="39">
        <f>SUM(B5:F5)</f>
        <v/>
      </c>
    </row>
    <row r="6">
      <c r="A6" s="23" t="inlineStr">
        <is>
          <t>Gastos de campaña</t>
        </is>
      </c>
      <c r="B6" s="43">
        <f>B4*Supuestos!$B$28</f>
        <v/>
      </c>
      <c r="C6" s="43">
        <f>C4*Supuestos!$B$28</f>
        <v/>
      </c>
      <c r="D6" s="43">
        <f>D4*Supuestos!$B$28</f>
        <v/>
      </c>
      <c r="E6" s="43">
        <f>E4*Supuestos!$B$28</f>
        <v/>
      </c>
      <c r="F6" s="43">
        <f>F4*Supuestos!$B$28</f>
        <v/>
      </c>
      <c r="G6" s="39">
        <f>SUM(B6:F6)</f>
        <v/>
      </c>
    </row>
    <row r="7">
      <c r="A7" s="23" t="inlineStr">
        <is>
          <t>Cuota préstamo 70k</t>
        </is>
      </c>
      <c r="B7" s="42">
        <f>Supuestos!$B$29</f>
        <v/>
      </c>
      <c r="C7" s="42">
        <f>Supuestos!$B$29</f>
        <v/>
      </c>
      <c r="D7" s="42">
        <f>Supuestos!$B$29</f>
        <v/>
      </c>
      <c r="E7" s="42">
        <f>Supuestos!$B$29</f>
        <v/>
      </c>
      <c r="F7" s="42">
        <f>Supuestos!$B$29</f>
        <v/>
      </c>
      <c r="G7" s="39">
        <f>SUM(B7:F7)</f>
        <v/>
      </c>
    </row>
    <row r="8">
      <c r="A8" s="21" t="inlineStr">
        <is>
          <t>Flujo libre del mes</t>
        </is>
      </c>
      <c r="B8" s="39">
        <f>B4-B5-B6-B7</f>
        <v/>
      </c>
      <c r="C8" s="39">
        <f>C4-C5-C6-C7</f>
        <v/>
      </c>
      <c r="D8" s="39">
        <f>D4-D5-D6-D7</f>
        <v/>
      </c>
      <c r="E8" s="39">
        <f>E4-E5-E6-E7</f>
        <v/>
      </c>
      <c r="F8" s="39">
        <f>F4-F5-F6-F7</f>
        <v/>
      </c>
      <c r="G8" s="39">
        <f>SUM(B8:F8)</f>
        <v/>
      </c>
    </row>
    <row r="9">
      <c r="A9" s="23" t="inlineStr">
        <is>
          <t>Flujo acumulado (pre-financiación)</t>
        </is>
      </c>
      <c r="B9" s="44">
        <f>B8</f>
        <v/>
      </c>
      <c r="C9" s="44">
        <f>B9+C8</f>
        <v/>
      </c>
      <c r="D9" s="44">
        <f>C9+D8</f>
        <v/>
      </c>
      <c r="E9" s="44">
        <f>D9+E8</f>
        <v/>
      </c>
      <c r="F9" s="44">
        <f>E9+F8</f>
        <v/>
      </c>
    </row>
    <row r="10">
      <c r="A10" s="23" t="inlineStr">
        <is>
          <t>Disposición de la línea (+)</t>
        </is>
      </c>
      <c r="B10" s="43">
        <f>MAX(0,B12)</f>
        <v/>
      </c>
      <c r="C10" s="43">
        <f>MAX(0,C12-B12)</f>
        <v/>
      </c>
      <c r="D10" s="43">
        <f>MAX(0,D12-C12)</f>
        <v/>
      </c>
      <c r="E10" s="43">
        <f>MAX(0,E12-D12)</f>
        <v/>
      </c>
      <c r="F10" s="43">
        <f>MAX(0,F12-E12)</f>
        <v/>
      </c>
      <c r="G10" s="39">
        <f>SUM(B10:F10)</f>
        <v/>
      </c>
    </row>
    <row r="11">
      <c r="A11" s="23" t="inlineStr">
        <is>
          <t>Devolución de la línea (−)</t>
        </is>
      </c>
      <c r="B11" s="43">
        <f>MAX(0,-B12)</f>
        <v/>
      </c>
      <c r="C11" s="43">
        <f>MAX(0,B12-C12)</f>
        <v/>
      </c>
      <c r="D11" s="43">
        <f>MAX(0,C12-D12)</f>
        <v/>
      </c>
      <c r="E11" s="43">
        <f>MAX(0,D12-E12)</f>
        <v/>
      </c>
      <c r="F11" s="43">
        <f>MAX(0,E12-F12)</f>
        <v/>
      </c>
      <c r="G11" s="39">
        <f>SUM(B11:F11)</f>
        <v/>
      </c>
    </row>
    <row r="12">
      <c r="A12" s="21" t="inlineStr">
        <is>
          <t>Saldo vivo de la línea (fin de mes)</t>
        </is>
      </c>
      <c r="B12" s="45">
        <f>MAX(0,-B9)</f>
        <v/>
      </c>
      <c r="C12" s="45">
        <f>MAX(0,-C9)</f>
        <v/>
      </c>
      <c r="D12" s="45">
        <f>MAX(0,-D9)</f>
        <v/>
      </c>
      <c r="E12" s="45">
        <f>MAX(0,-E9)</f>
        <v/>
      </c>
      <c r="F12" s="45">
        <f>MAX(0,-F9)</f>
        <v/>
      </c>
    </row>
    <row r="13">
      <c r="A13" s="23" t="inlineStr">
        <is>
          <t>Caja acumulada</t>
        </is>
      </c>
      <c r="B13" s="43">
        <f>MAX(0,B9)</f>
        <v/>
      </c>
      <c r="C13" s="43">
        <f>MAX(0,C9)</f>
        <v/>
      </c>
      <c r="D13" s="43">
        <f>MAX(0,D9)</f>
        <v/>
      </c>
      <c r="E13" s="43">
        <f>MAX(0,E9)</f>
        <v/>
      </c>
      <c r="F13" s="43">
        <f>MAX(0,F9)</f>
        <v/>
      </c>
    </row>
    <row r="15">
      <c r="A15" s="27" t="inlineStr">
        <is>
          <t>Pico de disposición de la línea</t>
        </is>
      </c>
      <c r="B15" s="39">
        <f>MAX(B12:F12)</f>
        <v/>
      </c>
    </row>
    <row r="16">
      <c r="A16" s="27" t="inlineStr">
        <is>
          <t>Flujo de caja operativo de campaña</t>
        </is>
      </c>
      <c r="B16" s="39">
        <f>G4-G5-G6</f>
        <v/>
      </c>
    </row>
    <row r="17">
      <c r="A17" s="23" t="inlineStr">
        <is>
          <t>Servicio del préstamo (5 meses)</t>
        </is>
      </c>
      <c r="B17" s="41">
        <f>Supuestos!B29*Supuestos!B30</f>
        <v/>
      </c>
    </row>
    <row r="19" ht="40" customHeight="1">
      <c r="A19" s="20" t="inlineStr">
        <is>
          <t>Lectura: el pico de disposición se produce en octubre y la línea queda totalmente devuelta a finales de diciembre (los cobros de nov+dic financian la devolución). La caja acumulada es positiva desde diciembre.</t>
        </is>
      </c>
    </row>
  </sheetData>
  <mergeCells count="1"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0" t="inlineStr">
        <is>
          <t>ESCENARIOS DE DISPOSICIÓN Y COBERTURA</t>
        </is>
      </c>
    </row>
    <row r="3">
      <c r="A3" s="12" t="inlineStr">
        <is>
          <t>Concepto</t>
        </is>
      </c>
      <c r="B3" s="12" t="inlineStr">
        <is>
          <t>A · Base (escalonada)</t>
        </is>
      </c>
      <c r="C3" s="12" t="inlineStr">
        <is>
          <t>B · Conservador (−25%)</t>
        </is>
      </c>
      <c r="D3" s="12" t="inlineStr">
        <is>
          <t>C · Disposición máxima</t>
        </is>
      </c>
    </row>
    <row r="4">
      <c r="A4" s="13" t="inlineStr">
        <is>
          <t>Ventas de campaña (€)</t>
        </is>
      </c>
      <c r="B4" s="36">
        <f>Supuestos!$B$6</f>
        <v/>
      </c>
      <c r="C4" s="36">
        <f>Supuestos!$B$6*(1+Supuestos!$B$33)</f>
        <v/>
      </c>
      <c r="D4" s="36">
        <f>Supuestos!$B$6</f>
        <v/>
      </c>
    </row>
    <row r="5">
      <c r="A5" s="13" t="inlineStr">
        <is>
          <t>Coste de stock (€)</t>
        </is>
      </c>
      <c r="B5" s="36">
        <f>'Necesidad de circulante'!$D$9</f>
        <v/>
      </c>
      <c r="C5" s="36">
        <f>'Necesidad de circulante'!$D$9*(1+Supuestos!$B$33)</f>
        <v/>
      </c>
      <c r="D5" s="36">
        <f>'Necesidad de circulante'!$D$9</f>
        <v/>
      </c>
    </row>
    <row r="6">
      <c r="A6" s="13" t="inlineStr">
        <is>
          <t>Gastos de campaña (€)</t>
        </is>
      </c>
      <c r="B6" s="38">
        <f>B4*Supuestos!$B$28</f>
        <v/>
      </c>
      <c r="C6" s="38">
        <f>C4*Supuestos!$B$28</f>
        <v/>
      </c>
      <c r="D6" s="38">
        <f>D4*Supuestos!$B$28</f>
        <v/>
      </c>
    </row>
    <row r="7">
      <c r="A7" s="17" t="inlineStr">
        <is>
          <t>Flujo de caja operativo (€)</t>
        </is>
      </c>
      <c r="B7" s="46">
        <f>B4-B5-B6</f>
        <v/>
      </c>
      <c r="C7" s="46">
        <f>C4-C5-C6</f>
        <v/>
      </c>
      <c r="D7" s="46">
        <f>D4-D5-D6</f>
        <v/>
      </c>
    </row>
    <row r="8">
      <c r="A8" s="47" t="inlineStr">
        <is>
          <t>Pico de disposición de la línea (€)</t>
        </is>
      </c>
      <c r="B8" s="48">
        <f>'Flujo de caja campaña'!B15</f>
        <v/>
      </c>
      <c r="C8" s="46">
        <f>-(Supuestos!$B$6*(1+Supuestos!$B$33)*Supuestos!$B$16-'Necesidad de circulante'!$D$9*(1+Supuestos!$B$33)*Supuestos!$B$23-Supuestos!$B$6*(1+Supuestos!$B$33)*Supuestos!$B$16*Supuestos!$B$28-Supuestos!$B$29)</f>
        <v/>
      </c>
      <c r="D8" s="46">
        <f>-(Supuestos!$B$6*Supuestos!$B$16-'Necesidad de circulante'!$D$9-Supuestos!$B$6*Supuestos!$B$16*Supuestos!$B$28-Supuestos!$B$29)</f>
        <v/>
      </c>
    </row>
    <row r="9">
      <c r="A9" s="13" t="inlineStr">
        <is>
          <t>Servicio del préstamo (5 meses) (€)</t>
        </is>
      </c>
      <c r="B9" s="36">
        <f>Supuestos!$B$29*Supuestos!$B$30</f>
        <v/>
      </c>
      <c r="C9" s="36">
        <f>Supuestos!$B$29*Supuestos!$B$30</f>
        <v/>
      </c>
      <c r="D9" s="36">
        <f>Supuestos!$B$29*Supuestos!$B$30</f>
        <v/>
      </c>
    </row>
    <row r="10">
      <c r="A10" s="17" t="inlineStr">
        <is>
          <t>Ratio de cobertura (flujo op. / (pico+servicio))</t>
        </is>
      </c>
      <c r="B10" s="49">
        <f>B7/(B8+B9)</f>
        <v/>
      </c>
      <c r="C10" s="49">
        <f>C7/(C8+C9)</f>
        <v/>
      </c>
      <c r="D10" s="49">
        <f>D7/(D8+D9)</f>
        <v/>
      </c>
    </row>
    <row r="11">
      <c r="A11" s="13" t="inlineStr">
        <is>
          <t>Devuelta dentro de la campaña</t>
        </is>
      </c>
      <c r="B11" s="50" t="inlineStr">
        <is>
          <t>Sí (fin dic)</t>
        </is>
      </c>
      <c r="C11" s="50" t="inlineStr">
        <is>
          <t>Sí (fin dic)</t>
        </is>
      </c>
      <c r="D11" s="50" t="inlineStr">
        <is>
          <t>Sí (fin dic)</t>
        </is>
      </c>
    </row>
    <row r="13" ht="48" customHeight="1">
      <c r="A13" s="20" t="inlineStr">
        <is>
          <t>Escenario C (extremo): se compra TODO el stock por adelantado en octubre. El pico es alto pero se autoliquida dentro de la campaña, porque nov+dic cobran 227.500 €. La cobertura sobre el pico es &lt;1x, pero es un caso de estrés, no el plan base.</t>
        </is>
      </c>
    </row>
    <row r="14">
      <c r="A14" s="23" t="inlineStr">
        <is>
          <t>Cobros nov+dic (control escenario C)</t>
        </is>
      </c>
      <c r="B14" s="44">
        <f>Supuestos!$B$6*Supuestos!$B$17+Supuestos!$B$6*Supuestos!$B$18</f>
        <v/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2026-08-30T16:46:11Z</dcterms:created>
  <dcterms:modified xmlns:dcterms="http://purl.org/dc/terms/" xmlns:xsi="http://www.w3.org/2001/XMLSchema-instance" xsi:type="dcterms:W3CDTF">2026-08-30T16:46:11Z</dcterms:modified>
</cp:coreProperties>
</file>