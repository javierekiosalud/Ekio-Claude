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Stock" sheetId="2" state="visible" r:id="rId2"/>
    <sheet xmlns:r="http://schemas.openxmlformats.org/officeDocument/2006/relationships" name="02_Equipamiento" sheetId="3" state="visible" r:id="rId3"/>
    <sheet xmlns:r="http://schemas.openxmlformats.org/officeDocument/2006/relationships" name="03_Patentes" sheetId="4" state="visible" r:id="rId4"/>
    <sheet xmlns:r="http://schemas.openxmlformats.org/officeDocument/2006/relationships" name="04_Software" sheetId="5" state="visible" r:id="rId5"/>
    <sheet xmlns:r="http://schemas.openxmlformats.org/officeDocument/2006/relationships" name="05_Marcas" sheetId="6" state="visible" r:id="rId6"/>
    <sheet xmlns:r="http://schemas.openxmlformats.org/officeDocument/2006/relationships" name="06_Dominios" sheetId="7" state="visible" r:id="rId7"/>
    <sheet xmlns:r="http://schemas.openxmlformats.org/officeDocument/2006/relationships" name="07_Webs_Shopify" sheetId="8" state="visible" r:id="rId8"/>
    <sheet xmlns:r="http://schemas.openxmlformats.org/officeDocument/2006/relationships" name="08_RRSS_Marketing" sheetId="9" state="visible" r:id="rId9"/>
    <sheet xmlns:r="http://schemas.openxmlformats.org/officeDocument/2006/relationships" name="09_BBDD_RGPD" sheetId="10" state="visible" r:id="rId10"/>
    <sheet xmlns:r="http://schemas.openxmlformats.org/officeDocument/2006/relationships" name="10_Contratos" sheetId="11" state="visible" r:id="rId11"/>
    <sheet xmlns:r="http://schemas.openxmlformats.org/officeDocument/2006/relationships" name="11_Equipo" sheetId="12" state="visible" r:id="rId12"/>
    <sheet xmlns:r="http://schemas.openxmlformats.org/officeDocument/2006/relationships" name="12_Pasivos" sheetId="13" state="visible" r:id="rId13"/>
    <sheet xmlns:r="http://schemas.openxmlformats.org/officeDocument/2006/relationships" name="13_Intangibles_blandos" sheetId="14" state="visible" r:id="rId14"/>
    <sheet xmlns:r="http://schemas.openxmlformats.org/officeDocument/2006/relationships" name="14_Tracker" sheetId="15" state="visible" r:id="rId15"/>
  </sheets>
  <definedNames>
    <definedName name="_xlnm._FilterDatabase" localSheetId="1" hidden="1">'01_Stock'!$A$2:$F$12</definedName>
    <definedName name="_xlnm._FilterDatabase" localSheetId="2" hidden="1">'02_Equipamiento'!$A$2:$F$10</definedName>
    <definedName name="_xlnm._FilterDatabase" localSheetId="3" hidden="1">'03_Patentes'!$A$2:$F$8</definedName>
    <definedName name="_xlnm._FilterDatabase" localSheetId="4" hidden="1">'04_Software'!$A$2:$F$9</definedName>
    <definedName name="_xlnm._FilterDatabase" localSheetId="5" hidden="1">'05_Marcas'!$A$2:$F$13</definedName>
    <definedName name="_xlnm._FilterDatabase" localSheetId="6" hidden="1">'06_Dominios'!$A$2:$E$12</definedName>
    <definedName name="_xlnm._FilterDatabase" localSheetId="7" hidden="1">'07_Webs_Shopify'!$A$2:$E$9</definedName>
    <definedName name="_xlnm._FilterDatabase" localSheetId="8" hidden="1">'08_RRSS_Marketing'!$A$2:$E$19</definedName>
    <definedName name="_xlnm._FilterDatabase" localSheetId="9" hidden="1">'09_BBDD_RGPD'!$A$2:$E$9</definedName>
    <definedName name="_xlnm._FilterDatabase" localSheetId="10" hidden="1">'10_Contratos'!$A$2:$E$17</definedName>
    <definedName name="_xlnm._FilterDatabase" localSheetId="11" hidden="1">'11_Equipo'!$A$2:$F$13</definedName>
    <definedName name="_xlnm._FilterDatabase" localSheetId="12" hidden="1">'12_Pasivos'!$A$2:$E$16</definedName>
    <definedName name="_xlnm._FilterDatabase" localSheetId="13" hidden="1">'13_Intangibles_blandos'!$A$2:$D$9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i val="1"/>
      <color rgb="00606060"/>
      <sz val="9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7" fillId="7" borderId="1" applyAlignment="1" pivotButton="0" quotePrefix="0" xfId="0">
      <alignment horizontal="center" vertical="center" wrapText="1"/>
    </xf>
    <xf numFmtId="9" fontId="7" fillId="7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CUESTIONARIO DE TITULARIDAD DE ACTIVOS — FASE 0  ·  EKIO BIOTECH S.L.</t>
        </is>
      </c>
    </row>
    <row r="2" ht="22" customHeight="1">
      <c r="A2" s="2" t="inlineStr">
        <is>
          <t>Cliente: Francisco Javier Andrés Andrés  ·  Fecha emisión: 2026-06-12  ·  Devolver cumplimentado en ≤ 7 días</t>
        </is>
      </c>
    </row>
    <row r="4" ht="22" customHeight="1">
      <c r="A4" s="3" t="inlineStr">
        <is>
          <t>CÓMO RELLENAR</t>
        </is>
      </c>
    </row>
    <row r="5" ht="18" customHeight="1">
      <c r="A5" s="4" t="inlineStr">
        <is>
          <t>1. Recorre los 13 bloques (pestañas 01 a 13). Una fila por activo.</t>
        </is>
      </c>
    </row>
    <row r="6" ht="18" customHeight="1">
      <c r="A6" s="4" t="inlineStr">
        <is>
          <t>2. Rellena: TITULAR ACTUAL · DOCUMENTO · DESTINO. Cualquier celda en blanco se cuenta como pendiente en la pestaña 14_Tracker.</t>
        </is>
      </c>
    </row>
    <row r="7" ht="18" customHeight="1">
      <c r="A7" s="4" t="inlineStr">
        <is>
          <t>3. Si no sabes la respuesta, escribe REVISAR. Es respuesta válida y genera tarea.</t>
        </is>
      </c>
    </row>
    <row r="8" ht="18" customHeight="1">
      <c r="A8" s="4" t="inlineStr">
        <is>
          <t>4. Si no hay papel que acredite, escribe SIN DOCUMENTO.</t>
        </is>
      </c>
    </row>
    <row r="9" ht="18" customHeight="1">
      <c r="A9" s="4" t="inlineStr"/>
    </row>
    <row r="10" ht="22" customHeight="1">
      <c r="A10" s="3" t="inlineStr">
        <is>
          <t>DESTINO — CÓDIGOS</t>
        </is>
      </c>
    </row>
    <row r="11" ht="18" customHeight="1">
      <c r="A11" s="4" t="inlineStr">
        <is>
          <t>A = APORTAR a Ekio BioTech S.L. (vía aportación no dineraria).</t>
        </is>
      </c>
    </row>
    <row r="12" ht="18" customHeight="1">
      <c r="A12" s="4" t="inlineStr">
        <is>
          <t>B = QUEDA en EKIO Bienestar S.L. (o futuro Ekio Holdings).</t>
        </is>
      </c>
    </row>
    <row r="13" ht="18" customHeight="1">
      <c r="A13" s="4" t="inlineStr">
        <is>
          <t>C = QUEDA FUERA — patrimonio personal o tercero.</t>
        </is>
      </c>
    </row>
    <row r="14" ht="18" customHeight="1">
      <c r="A14" s="4" t="inlineStr">
        <is>
          <t>D = DUDA — discutir con el agente o asesor antes de decidir.</t>
        </is>
      </c>
    </row>
    <row r="15" ht="18" customHeight="1">
      <c r="A15" s="4" t="inlineStr"/>
    </row>
    <row r="16" ht="22" customHeight="1">
      <c r="A16" s="3" t="inlineStr">
        <is>
          <t>BLOQUES CRÍTICOS — PRIORIDAD MÁXIMA</t>
        </is>
      </c>
    </row>
    <row r="17" ht="22" customHeight="1">
      <c r="A17" s="5" t="inlineStr">
        <is>
          <t>⚠️  Bloque 3 (Patentes): determina si el PCT puede presentarse a nombre de Ekio BioTech o si hay cuello de botella.</t>
        </is>
      </c>
    </row>
    <row r="18" ht="22" customHeight="1">
      <c r="A18" s="5" t="inlineStr">
        <is>
          <t>⚠️  Bloque 9 (BBDD/RGPD): el cambio de responsable de tratamiento no se hace solo. Sanción hasta 20M€.</t>
        </is>
      </c>
    </row>
    <row r="19" ht="22" customHeight="1">
      <c r="A19" s="5" t="inlineStr">
        <is>
          <t>⚠️  Bloque 11 (Equipo): la sucesión de empresa (art. 44 ET) opera de oficio. Pasivos ocultos posibles.</t>
        </is>
      </c>
    </row>
    <row r="20" ht="18" customHeight="1">
      <c r="A20" s="4" t="inlineStr"/>
    </row>
    <row r="21" ht="22" customHeight="1">
      <c r="A21" s="3" t="inlineStr">
        <is>
          <t>PRÓXIMOS PASOS UNA VEZ COMPLETADO</t>
        </is>
      </c>
    </row>
    <row r="22" ht="18" customHeight="1">
      <c r="A22" s="4" t="inlineStr">
        <is>
          <t>→ Devolver el Excel rellenado al agente sociedades-espana-agent para pasar a Fase 1.</t>
        </is>
      </c>
    </row>
    <row r="23" ht="18" customHeight="1">
      <c r="A23" s="4" t="inlineStr">
        <is>
          <t>→ Convocar reunión con Patricia García (ver documento 03_preparacion_reunion_PCT_Patricia.md).</t>
        </is>
      </c>
    </row>
    <row r="24" ht="18" customHeight="1">
      <c r="A24" s="4" t="inlineStr">
        <is>
          <t>→ Enviar paquete de preguntas a asesor fiscal y notario (ver 04_paquete_consulta_asesor_y_notario.md).</t>
        </is>
      </c>
    </row>
    <row r="25" ht="18" customHeight="1">
      <c r="A25" s="4" t="inlineStr"/>
    </row>
    <row r="26" ht="22" customHeight="1">
      <c r="A26" s="3" t="inlineStr">
        <is>
          <t>ADVERTENCIA</t>
        </is>
      </c>
    </row>
    <row r="27" ht="18" customHeight="1">
      <c r="A27" s="6" t="inlineStr">
        <is>
          <t>Este cuestionario es apoyo técnico. Toda decisión final exige validación de asesor fiscal habilitado y notario.</t>
        </is>
      </c>
    </row>
  </sheetData>
  <mergeCells count="26">
    <mergeCell ref="A16:F16"/>
    <mergeCell ref="A27:F27"/>
    <mergeCell ref="A12:F12"/>
    <mergeCell ref="A18:F18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BLOQUE 1 · STOCK Y PRODUCTO TERMINADO</t>
        </is>
      </c>
    </row>
    <row r="2" ht="32" customHeight="1">
      <c r="A2" s="7" t="inlineStr">
        <is>
          <t>Ítem</t>
        </is>
      </c>
      <c r="B2" s="7" t="inlineStr">
        <is>
          <t>Titular actual</t>
        </is>
      </c>
      <c r="C2" s="7" t="inlineStr">
        <is>
          <t>Documento que lo acredita</t>
        </is>
      </c>
      <c r="D2" s="7" t="inlineStr">
        <is>
          <t>Destino (A/B/C/D)</t>
        </is>
      </c>
      <c r="E2" s="7" t="inlineStr">
        <is>
          <t>Valor estimado (€)</t>
        </is>
      </c>
      <c r="F2" s="7" t="inlineStr">
        <is>
          <t>Notas</t>
        </is>
      </c>
    </row>
    <row r="3" ht="30" customHeight="1">
      <c r="A3" s="8" t="inlineStr">
        <is>
          <t>Stock panel Ekio Light Deep 5 (unidades + valor coste)</t>
        </is>
      </c>
      <c r="B3" s="9" t="inlineStr"/>
      <c r="C3" s="9" t="inlineStr"/>
      <c r="D3" s="9" t="inlineStr"/>
      <c r="E3" s="9" t="inlineStr"/>
      <c r="F3" s="9" t="inlineStr"/>
    </row>
    <row r="4" ht="30" customHeight="1">
      <c r="A4" s="8" t="inlineStr">
        <is>
          <t>Stock panel Ekio Light Bio Regén 7</t>
        </is>
      </c>
      <c r="B4" s="9" t="inlineStr"/>
      <c r="C4" s="9" t="inlineStr"/>
      <c r="D4" s="9" t="inlineStr"/>
      <c r="E4" s="9" t="inlineStr"/>
      <c r="F4" s="9" t="inlineStr"/>
    </row>
    <row r="5" ht="30" customHeight="1">
      <c r="A5" s="8" t="inlineStr">
        <is>
          <t>Stock panel Ekio Light Bio Spectrum 10</t>
        </is>
      </c>
      <c r="B5" s="9" t="inlineStr"/>
      <c r="C5" s="9" t="inlineStr"/>
      <c r="D5" s="9" t="inlineStr"/>
      <c r="E5" s="9" t="inlineStr"/>
      <c r="F5" s="9" t="inlineStr"/>
    </row>
    <row r="6" ht="30" customHeight="1">
      <c r="A6" s="8" t="inlineStr">
        <is>
          <t>Stock nuevo panel 13 LED (prototipos + producción si la hubiera)</t>
        </is>
      </c>
      <c r="B6" s="9" t="inlineStr"/>
      <c r="C6" s="9" t="inlineStr"/>
      <c r="D6" s="9" t="inlineStr"/>
      <c r="E6" s="9" t="inlineStr"/>
      <c r="F6" s="9" t="inlineStr"/>
    </row>
    <row r="7" ht="30" customHeight="1">
      <c r="A7" s="8" t="inlineStr">
        <is>
          <t>Stock línea Spiro en liquidación (unidades + valor neto realizable)</t>
        </is>
      </c>
      <c r="B7" s="9" t="inlineStr"/>
      <c r="C7" s="9" t="inlineStr"/>
      <c r="D7" s="9" t="inlineStr"/>
      <c r="E7" s="9" t="inlineStr"/>
      <c r="F7" s="9" t="inlineStr"/>
    </row>
    <row r="8" ht="30" customHeight="1">
      <c r="A8" s="8" t="inlineStr">
        <is>
          <t>Stock accesorios (cables, mandos, soportes, embalaje)</t>
        </is>
      </c>
      <c r="B8" s="9" t="inlineStr"/>
      <c r="C8" s="9" t="inlineStr"/>
      <c r="D8" s="9" t="inlineStr"/>
      <c r="E8" s="9" t="inlineStr"/>
      <c r="F8" s="9" t="inlineStr"/>
    </row>
    <row r="9" ht="30" customHeight="1">
      <c r="A9" s="8" t="inlineStr">
        <is>
          <t>Stock devoluciones / unidades defectuosas</t>
        </is>
      </c>
      <c r="B9" s="9" t="inlineStr"/>
      <c r="C9" s="9" t="inlineStr"/>
      <c r="D9" s="9" t="inlineStr"/>
      <c r="E9" s="9" t="inlineStr"/>
      <c r="F9" s="9" t="inlineStr"/>
    </row>
    <row r="10" ht="30" customHeight="1">
      <c r="A10" s="8" t="inlineStr">
        <is>
          <t>Stock en consigna / depósito con terceros (Amazon FBA, distribuidores)</t>
        </is>
      </c>
      <c r="B10" s="9" t="inlineStr"/>
      <c r="C10" s="9" t="inlineStr"/>
      <c r="D10" s="9" t="inlineStr"/>
      <c r="E10" s="9" t="inlineStr"/>
      <c r="F10" s="9" t="inlineStr"/>
    </row>
    <row r="11" ht="30" customHeight="1">
      <c r="A11" s="8" t="inlineStr">
        <is>
          <t>Materias primas y componentes electrónicos en almacén</t>
        </is>
      </c>
      <c r="B11" s="9" t="inlineStr"/>
      <c r="C11" s="9" t="inlineStr"/>
      <c r="D11" s="9" t="inlineStr"/>
      <c r="E11" s="9" t="inlineStr"/>
      <c r="F11" s="9" t="inlineStr"/>
    </row>
    <row r="12" ht="30" customHeight="1">
      <c r="A12" s="8" t="inlineStr">
        <is>
          <t>Stock obsoleto previsto para baja (provisión por deterioro)</t>
        </is>
      </c>
      <c r="B12" s="9" t="inlineStr"/>
      <c r="C12" s="9" t="inlineStr"/>
      <c r="D12" s="9" t="inlineStr"/>
      <c r="E12" s="9" t="inlineStr"/>
      <c r="F12" s="9" t="inlineStr"/>
    </row>
  </sheetData>
  <autoFilter ref="A2:F12"/>
  <mergeCells count="1">
    <mergeCell ref="A1:F1"/>
  </mergeCells>
  <dataValidations count="1">
    <dataValidation sqref="D3:D12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BLOQUE 2 · EQUIPAMIENTO E INMOVILIZADO</t>
        </is>
      </c>
    </row>
    <row r="2" ht="32" customHeight="1">
      <c r="A2" s="7" t="inlineStr">
        <is>
          <t>Ítem</t>
        </is>
      </c>
      <c r="B2" s="7" t="inlineStr">
        <is>
          <t>Titular actual</t>
        </is>
      </c>
      <c r="C2" s="7" t="inlineStr">
        <is>
          <t>Documento que lo acredita</t>
        </is>
      </c>
      <c r="D2" s="7" t="inlineStr">
        <is>
          <t>Destino (A/B/C/D)</t>
        </is>
      </c>
      <c r="E2" s="7" t="inlineStr">
        <is>
          <t>Valor estimado (€)</t>
        </is>
      </c>
      <c r="F2" s="7" t="inlineStr">
        <is>
          <t>Notas</t>
        </is>
      </c>
    </row>
    <row r="3" ht="30" customHeight="1">
      <c r="A3" s="8" t="inlineStr">
        <is>
          <t>Bancada de fabricación / herramientas de ensamblaje</t>
        </is>
      </c>
      <c r="B3" s="9" t="inlineStr"/>
      <c r="C3" s="9" t="inlineStr"/>
      <c r="D3" s="9" t="inlineStr"/>
      <c r="E3" s="9" t="inlineStr"/>
      <c r="F3" s="9" t="inlineStr"/>
    </row>
    <row r="4" ht="30" customHeight="1">
      <c r="A4" s="8" t="inlineStr">
        <is>
          <t>Equipo de medición (espectrómetro, lux/PAR meter, osciloscopio, EMF meter)</t>
        </is>
      </c>
      <c r="B4" s="9" t="inlineStr"/>
      <c r="C4" s="9" t="inlineStr"/>
      <c r="D4" s="9" t="inlineStr"/>
      <c r="E4" s="9" t="inlineStr"/>
      <c r="F4" s="9" t="inlineStr"/>
    </row>
    <row r="5" ht="30" customHeight="1">
      <c r="A5" s="8" t="inlineStr">
        <is>
          <t>Mobiliario, ordenadores, equipos oficina/taller</t>
        </is>
      </c>
      <c r="B5" s="9" t="inlineStr"/>
      <c r="C5" s="9" t="inlineStr"/>
      <c r="D5" s="9" t="inlineStr"/>
      <c r="E5" s="9" t="inlineStr"/>
      <c r="F5" s="9" t="inlineStr"/>
    </row>
    <row r="6" ht="30" customHeight="1">
      <c r="A6" s="8" t="inlineStr">
        <is>
          <t>Vehículo de empresa (si lo hay) — afectación 100% o mixta</t>
        </is>
      </c>
      <c r="B6" s="9" t="inlineStr"/>
      <c r="C6" s="9" t="inlineStr"/>
      <c r="D6" s="9" t="inlineStr"/>
      <c r="E6" s="9" t="inlineStr"/>
      <c r="F6" s="9" t="inlineStr"/>
    </row>
    <row r="7" ht="30" customHeight="1">
      <c r="A7" s="8" t="inlineStr">
        <is>
          <t>Local / nave / almacén — propiedad o alquiler</t>
        </is>
      </c>
      <c r="B7" s="9" t="inlineStr"/>
      <c r="C7" s="9" t="inlineStr"/>
      <c r="D7" s="9" t="inlineStr"/>
      <c r="E7" s="9" t="inlineStr"/>
      <c r="F7" s="9" t="inlineStr"/>
    </row>
    <row r="8" ht="30" customHeight="1">
      <c r="A8" s="8" t="inlineStr">
        <is>
          <t>Contrato de alquiler vigente (titular: Javier persona física / autónomo / Ekio Bienestar)</t>
        </is>
      </c>
      <c r="B8" s="9" t="inlineStr"/>
      <c r="C8" s="9" t="inlineStr"/>
      <c r="D8" s="9" t="inlineStr"/>
      <c r="E8" s="9" t="inlineStr"/>
      <c r="F8" s="9" t="inlineStr"/>
    </row>
    <row r="9" ht="30" customHeight="1">
      <c r="A9" s="8" t="inlineStr">
        <is>
          <t>Mejoras realizadas en local arrendado (reformas, instalaciones)</t>
        </is>
      </c>
      <c r="B9" s="9" t="inlineStr"/>
      <c r="C9" s="9" t="inlineStr"/>
      <c r="D9" s="9" t="inlineStr"/>
      <c r="E9" s="9" t="inlineStr"/>
      <c r="F9" s="9" t="inlineStr"/>
    </row>
    <row r="10" ht="30" customHeight="1">
      <c r="A10" s="8" t="inlineStr">
        <is>
          <t>Moldes / utillaje / fixtures de fabricación del panel</t>
        </is>
      </c>
      <c r="B10" s="9" t="inlineStr"/>
      <c r="C10" s="9" t="inlineStr"/>
      <c r="D10" s="9" t="inlineStr"/>
      <c r="E10" s="9" t="inlineStr"/>
      <c r="F10" s="9" t="inlineStr"/>
    </row>
  </sheetData>
  <autoFilter ref="A2:F10"/>
  <mergeCells count="1">
    <mergeCell ref="A1:F1"/>
  </mergeCells>
  <dataValidations count="1">
    <dataValidation sqref="D3:D10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BLOQUE 3 · PROPIEDAD INDUSTRIAL — PATENTES Y MODELOS  ⚠️ CRÍTICO</t>
        </is>
      </c>
    </row>
    <row r="2" ht="32" customHeight="1">
      <c r="A2" s="7" t="inlineStr">
        <is>
          <t>Ítem</t>
        </is>
      </c>
      <c r="B2" s="7" t="inlineStr">
        <is>
          <t>Titular actual</t>
        </is>
      </c>
      <c r="C2" s="7" t="inlineStr">
        <is>
          <t>Documento que lo acredita</t>
        </is>
      </c>
      <c r="D2" s="7" t="inlineStr">
        <is>
          <t>Destino (A/B/C/D)</t>
        </is>
      </c>
      <c r="E2" s="7" t="inlineStr">
        <is>
          <t>Valor estimado (€)</t>
        </is>
      </c>
      <c r="F2" s="7" t="inlineStr">
        <is>
          <t>Notas</t>
        </is>
      </c>
    </row>
    <row r="3" ht="30" customHeight="1">
      <c r="A3" s="8" t="inlineStr">
        <is>
          <t>Modelo de utilidad U202532624 — solicitante registrado OEPM</t>
        </is>
      </c>
      <c r="B3" s="9" t="inlineStr"/>
      <c r="C3" s="9" t="inlineStr"/>
      <c r="D3" s="9" t="inlineStr"/>
      <c r="E3" s="9" t="inlineStr"/>
      <c r="F3" s="9" t="inlineStr"/>
    </row>
    <row r="4" ht="30" customHeight="1">
      <c r="A4" s="8" t="inlineStr">
        <is>
          <t>PCT — solicitud internacional 157 países (estado: en preparación/presentada)</t>
        </is>
      </c>
      <c r="B4" s="9" t="inlineStr"/>
      <c r="C4" s="9" t="inlineStr"/>
      <c r="D4" s="9" t="inlineStr"/>
      <c r="E4" s="9" t="inlineStr"/>
      <c r="F4" s="9" t="inlineStr"/>
    </row>
    <row r="5" ht="30" customHeight="1">
      <c r="A5" s="8" t="inlineStr">
        <is>
          <t>Designaciones nacionales previstas (US, EU, JP, CN, BR, IN, MX, KR, CA, AU…)</t>
        </is>
      </c>
      <c r="B5" s="9" t="inlineStr"/>
      <c r="C5" s="9" t="inlineStr"/>
      <c r="D5" s="9" t="inlineStr"/>
      <c r="E5" s="9" t="inlineStr"/>
      <c r="F5" s="9" t="inlineStr"/>
    </row>
    <row r="6" ht="30" customHeight="1">
      <c r="A6" s="8" t="inlineStr">
        <is>
          <t>Segunda patente SRBA (reemplaza SFPA) — estado redacción + solicitante previsto</t>
        </is>
      </c>
      <c r="B6" s="9" t="inlineStr"/>
      <c r="C6" s="9" t="inlineStr"/>
      <c r="D6" s="9" t="inlineStr"/>
      <c r="E6" s="9" t="inlineStr"/>
      <c r="F6" s="9" t="inlineStr"/>
    </row>
    <row r="7" ht="30" customHeight="1">
      <c r="A7" s="8" t="inlineStr">
        <is>
          <t>Patentes / modelos abandonados o caducados que conviene recuperar</t>
        </is>
      </c>
      <c r="B7" s="9" t="inlineStr"/>
      <c r="C7" s="9" t="inlineStr"/>
      <c r="D7" s="9" t="inlineStr"/>
      <c r="E7" s="9" t="inlineStr"/>
      <c r="F7" s="9" t="inlineStr"/>
    </row>
    <row r="8" ht="30" customHeight="1">
      <c r="A8" s="8" t="inlineStr">
        <is>
          <t>Eventual cesión interna previa (¿Javier cedió la MU a Ekio Bienestar SL?) — CRÍTICO</t>
        </is>
      </c>
      <c r="B8" s="9" t="inlineStr"/>
      <c r="C8" s="9" t="inlineStr"/>
      <c r="D8" s="9" t="inlineStr"/>
      <c r="E8" s="9" t="inlineStr"/>
      <c r="F8" s="9" t="inlineStr"/>
    </row>
  </sheetData>
  <autoFilter ref="A2:F8"/>
  <mergeCells count="1">
    <mergeCell ref="A1:F1"/>
  </mergeCells>
  <dataValidations count="1">
    <dataValidation sqref="D3:D8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BLOQUE 4 · SOFTWARE Y APLICACIONES PROPIAS</t>
        </is>
      </c>
    </row>
    <row r="2" ht="32" customHeight="1">
      <c r="A2" s="7" t="inlineStr">
        <is>
          <t>Ítem</t>
        </is>
      </c>
      <c r="B2" s="7" t="inlineStr">
        <is>
          <t>Titular actual</t>
        </is>
      </c>
      <c r="C2" s="7" t="inlineStr">
        <is>
          <t>Documento que lo acredita</t>
        </is>
      </c>
      <c r="D2" s="7" t="inlineStr">
        <is>
          <t>Destino (A/B/C/D)</t>
        </is>
      </c>
      <c r="E2" s="7" t="inlineStr">
        <is>
          <t>Valor estimado (€)</t>
        </is>
      </c>
      <c r="F2" s="7" t="inlineStr">
        <is>
          <t>Notas</t>
        </is>
      </c>
    </row>
    <row r="3" ht="30" customHeight="1">
      <c r="A3" s="8" t="inlineStr">
        <is>
          <t>SFPA (algoritmo fotobiomodulación) — código fuente + repositorio Git</t>
        </is>
      </c>
      <c r="B3" s="9" t="inlineStr"/>
      <c r="C3" s="9" t="inlineStr"/>
      <c r="D3" s="9" t="inlineStr"/>
      <c r="E3" s="9" t="inlineStr"/>
      <c r="F3" s="9" t="inlineStr"/>
    </row>
    <row r="4" ht="30" customHeight="1">
      <c r="A4" s="8" t="inlineStr">
        <is>
          <t>Algoritmo SRBA (sucesor de SFPA) — estado</t>
        </is>
      </c>
      <c r="B4" s="9" t="inlineStr"/>
      <c r="C4" s="9" t="inlineStr"/>
      <c r="D4" s="9" t="inlineStr"/>
      <c r="E4" s="9" t="inlineStr"/>
      <c r="F4" s="9" t="inlineStr"/>
    </row>
    <row r="5" ht="30" customHeight="1">
      <c r="A5" s="8" t="inlineStr">
        <is>
          <t>App Ekio Coach — código + cuentas App Store/Google Play + certificados</t>
        </is>
      </c>
      <c r="B5" s="9" t="inlineStr"/>
      <c r="C5" s="9" t="inlineStr"/>
      <c r="D5" s="9" t="inlineStr"/>
      <c r="E5" s="9" t="inlineStr"/>
      <c r="F5" s="9" t="inlineStr"/>
    </row>
    <row r="6" ht="30" customHeight="1">
      <c r="A6" s="8" t="inlineStr">
        <is>
          <t>Backend / API / base de datos asociada a la app</t>
        </is>
      </c>
      <c r="B6" s="9" t="inlineStr"/>
      <c r="C6" s="9" t="inlineStr"/>
      <c r="D6" s="9" t="inlineStr"/>
      <c r="E6" s="9" t="inlineStr"/>
      <c r="F6" s="9" t="inlineStr"/>
    </row>
    <row r="7" ht="30" customHeight="1">
      <c r="A7" s="8" t="inlineStr">
        <is>
          <t>Cuentas de hosting (AWS/GCP/Azure), dominios técnicos</t>
        </is>
      </c>
      <c r="B7" s="9" t="inlineStr"/>
      <c r="C7" s="9" t="inlineStr"/>
      <c r="D7" s="9" t="inlineStr"/>
      <c r="E7" s="9" t="inlineStr"/>
      <c r="F7" s="9" t="inlineStr"/>
    </row>
    <row r="8" ht="30" customHeight="1">
      <c r="A8" s="8" t="inlineStr">
        <is>
          <t>Software desarrollado por terceros con cesión exclusiva (¿hay contrato?)</t>
        </is>
      </c>
      <c r="B8" s="9" t="inlineStr"/>
      <c r="C8" s="9" t="inlineStr"/>
      <c r="D8" s="9" t="inlineStr"/>
      <c r="E8" s="9" t="inlineStr"/>
      <c r="F8" s="9" t="inlineStr"/>
    </row>
    <row r="9" ht="30" customHeight="1">
      <c r="A9" s="8" t="inlineStr">
        <is>
          <t>Software con licencia copyleft (GPL) embebido — auditoría legal pendiente</t>
        </is>
      </c>
      <c r="B9" s="9" t="inlineStr"/>
      <c r="C9" s="9" t="inlineStr"/>
      <c r="D9" s="9" t="inlineStr"/>
      <c r="E9" s="9" t="inlineStr"/>
      <c r="F9" s="9" t="inlineStr"/>
    </row>
  </sheetData>
  <autoFilter ref="A2:F9"/>
  <mergeCells count="1">
    <mergeCell ref="A1:F1"/>
  </mergeCells>
  <dataValidations count="1">
    <dataValidation sqref="D3:D9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BLOQUE 5 · MARCAS Y SIGNOS DISTINTIVOS</t>
        </is>
      </c>
    </row>
    <row r="2" ht="32" customHeight="1">
      <c r="A2" s="7" t="inlineStr">
        <is>
          <t>Ítem</t>
        </is>
      </c>
      <c r="B2" s="7" t="inlineStr">
        <is>
          <t>Titular actual</t>
        </is>
      </c>
      <c r="C2" s="7" t="inlineStr">
        <is>
          <t>Documento que lo acredita</t>
        </is>
      </c>
      <c r="D2" s="7" t="inlineStr">
        <is>
          <t>Destino (A/B/C/D)</t>
        </is>
      </c>
      <c r="E2" s="7" t="inlineStr">
        <is>
          <t>Valor estimado (€)</t>
        </is>
      </c>
      <c r="F2" s="7" t="inlineStr">
        <is>
          <t>Notas</t>
        </is>
      </c>
    </row>
    <row r="3" ht="30" customHeight="1">
      <c r="A3" s="8" t="inlineStr">
        <is>
          <t>Marca EKIO denominativa — OEPM</t>
        </is>
      </c>
      <c r="B3" s="9" t="inlineStr"/>
      <c r="C3" s="9" t="inlineStr"/>
      <c r="D3" s="9" t="inlineStr"/>
      <c r="E3" s="9" t="inlineStr"/>
      <c r="F3" s="9" t="inlineStr"/>
    </row>
    <row r="4" ht="30" customHeight="1">
      <c r="A4" s="8" t="inlineStr">
        <is>
          <t>Marca EKIO mixta/figurativa (logo) — OEPM</t>
        </is>
      </c>
      <c r="B4" s="9" t="inlineStr"/>
      <c r="C4" s="9" t="inlineStr"/>
      <c r="D4" s="9" t="inlineStr"/>
      <c r="E4" s="9" t="inlineStr"/>
      <c r="F4" s="9" t="inlineStr"/>
    </row>
    <row r="5" ht="30" customHeight="1">
      <c r="A5" s="8" t="inlineStr">
        <is>
          <t>Marca EKIO LIGHT — registrada / en trámite / no registrada</t>
        </is>
      </c>
      <c r="B5" s="9" t="inlineStr"/>
      <c r="C5" s="9" t="inlineStr"/>
      <c r="D5" s="9" t="inlineStr"/>
      <c r="E5" s="9" t="inlineStr"/>
      <c r="F5" s="9" t="inlineStr"/>
    </row>
    <row r="6" ht="30" customHeight="1">
      <c r="A6" s="8" t="inlineStr">
        <is>
          <t>Marca EKIO BIOTECH — disponibilidad y reserva (búsqueda OEPM/EUIPO)</t>
        </is>
      </c>
      <c r="B6" s="9" t="inlineStr"/>
      <c r="C6" s="9" t="inlineStr"/>
      <c r="D6" s="9" t="inlineStr"/>
      <c r="E6" s="9" t="inlineStr"/>
      <c r="F6" s="9" t="inlineStr"/>
    </row>
    <row r="7" ht="30" customHeight="1">
      <c r="A7" s="8" t="inlineStr">
        <is>
          <t>Marca EKIO COACH</t>
        </is>
      </c>
      <c r="B7" s="9" t="inlineStr"/>
      <c r="C7" s="9" t="inlineStr"/>
      <c r="D7" s="9" t="inlineStr"/>
      <c r="E7" s="9" t="inlineStr"/>
      <c r="F7" s="9" t="inlineStr"/>
    </row>
    <row r="8" ht="30" customHeight="1">
      <c r="A8" s="8" t="inlineStr">
        <is>
          <t>Marca DEEP / BIO REGÉN / BIO SPECTRUM</t>
        </is>
      </c>
      <c r="B8" s="9" t="inlineStr"/>
      <c r="C8" s="9" t="inlineStr"/>
      <c r="D8" s="9" t="inlineStr"/>
      <c r="E8" s="9" t="inlineStr"/>
      <c r="F8" s="9" t="inlineStr"/>
    </row>
    <row r="9" ht="30" customHeight="1">
      <c r="A9" s="8" t="inlineStr">
        <is>
          <t>Marca Electrosmog España (denominativa o figurativa)</t>
        </is>
      </c>
      <c r="B9" s="9" t="inlineStr"/>
      <c r="C9" s="9" t="inlineStr"/>
      <c r="D9" s="9" t="inlineStr"/>
      <c r="E9" s="9" t="inlineStr"/>
      <c r="F9" s="9" t="inlineStr"/>
    </row>
    <row r="10" ht="30" customHeight="1">
      <c r="A10" s="8" t="inlineStr">
        <is>
          <t>Marca SPIRO (si EKIO la usaba como marca propia)</t>
        </is>
      </c>
      <c r="B10" s="9" t="inlineStr"/>
      <c r="C10" s="9" t="inlineStr"/>
      <c r="D10" s="9" t="inlineStr"/>
      <c r="E10" s="9" t="inlineStr"/>
      <c r="F10" s="9" t="inlineStr"/>
    </row>
    <row r="11" ht="30" customHeight="1">
      <c r="A11" s="8" t="inlineStr">
        <is>
          <t>Marcas UE (EUIPO) — alguna registrada</t>
        </is>
      </c>
      <c r="B11" s="9" t="inlineStr"/>
      <c r="C11" s="9" t="inlineStr"/>
      <c r="D11" s="9" t="inlineStr"/>
      <c r="E11" s="9" t="inlineStr"/>
      <c r="F11" s="9" t="inlineStr"/>
    </row>
    <row r="12" ht="30" customHeight="1">
      <c r="A12" s="8" t="inlineStr">
        <is>
          <t>Marcas internacionales (Sistema Madrid OMPI)</t>
        </is>
      </c>
      <c r="B12" s="9" t="inlineStr"/>
      <c r="C12" s="9" t="inlineStr"/>
      <c r="D12" s="9" t="inlineStr"/>
      <c r="E12" s="9" t="inlineStr"/>
      <c r="F12" s="9" t="inlineStr"/>
    </row>
    <row r="13" ht="30" customHeight="1">
      <c r="A13" s="8" t="inlineStr">
        <is>
          <t>Diseños industriales registrados (packaging, panel design)</t>
        </is>
      </c>
      <c r="B13" s="9" t="inlineStr"/>
      <c r="C13" s="9" t="inlineStr"/>
      <c r="D13" s="9" t="inlineStr"/>
      <c r="E13" s="9" t="inlineStr"/>
      <c r="F13" s="9" t="inlineStr"/>
    </row>
  </sheetData>
  <autoFilter ref="A2:F13"/>
  <mergeCells count="1">
    <mergeCell ref="A1:F1"/>
  </mergeCells>
  <dataValidations count="1">
    <dataValidation sqref="D3:D13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BLOQUE 6 · DOMINIOS WEB</t>
        </is>
      </c>
    </row>
    <row r="2" ht="32" customHeight="1">
      <c r="A2" s="7" t="inlineStr">
        <is>
          <t>Dominio</t>
        </is>
      </c>
      <c r="B2" s="7" t="inlineStr">
        <is>
          <t>Titular actual (registrant)</t>
        </is>
      </c>
      <c r="C2" s="7" t="inlineStr">
        <is>
          <t>Registrador / Documento</t>
        </is>
      </c>
      <c r="D2" s="7" t="inlineStr">
        <is>
          <t>Destino (A/B/C/D)</t>
        </is>
      </c>
      <c r="E2" s="7" t="inlineStr">
        <is>
          <t>Notas</t>
        </is>
      </c>
    </row>
    <row r="3" ht="30" customHeight="1">
      <c r="A3" s="8" t="inlineStr">
        <is>
          <t>electrosmogespana.com</t>
        </is>
      </c>
      <c r="B3" s="9" t="inlineStr"/>
      <c r="C3" s="9" t="inlineStr"/>
      <c r="D3" s="9" t="inlineStr"/>
      <c r="E3" s="9" t="inlineStr"/>
    </row>
    <row r="4" ht="30" customHeight="1">
      <c r="A4" s="8" t="inlineStr">
        <is>
          <t>ekio.es</t>
        </is>
      </c>
      <c r="B4" s="9" t="inlineStr"/>
      <c r="C4" s="9" t="inlineStr"/>
      <c r="D4" s="9" t="inlineStr"/>
      <c r="E4" s="9" t="inlineStr"/>
    </row>
    <row r="5" ht="30" customHeight="1">
      <c r="A5" s="8" t="inlineStr">
        <is>
          <t>ekio.com (si está)</t>
        </is>
      </c>
      <c r="B5" s="9" t="inlineStr"/>
      <c r="C5" s="9" t="inlineStr"/>
      <c r="D5" s="9" t="inlineStr"/>
      <c r="E5" s="9" t="inlineStr"/>
    </row>
    <row r="6" ht="30" customHeight="1">
      <c r="A6" s="8" t="inlineStr">
        <is>
          <t>ekiolight.com / .es</t>
        </is>
      </c>
      <c r="B6" s="9" t="inlineStr"/>
      <c r="C6" s="9" t="inlineStr"/>
      <c r="D6" s="9" t="inlineStr"/>
      <c r="E6" s="9" t="inlineStr"/>
    </row>
    <row r="7" ht="30" customHeight="1">
      <c r="A7" s="8" t="inlineStr">
        <is>
          <t>ekiobiotech.com / .es (disponibilidad y reserva inmediata)</t>
        </is>
      </c>
      <c r="B7" s="9" t="inlineStr"/>
      <c r="C7" s="9" t="inlineStr"/>
      <c r="D7" s="9" t="inlineStr"/>
      <c r="E7" s="9" t="inlineStr"/>
    </row>
    <row r="8" ht="30" customHeight="1">
      <c r="A8" s="8" t="inlineStr">
        <is>
          <t>ekiocoach.com / .es</t>
        </is>
      </c>
      <c r="B8" s="9" t="inlineStr"/>
      <c r="C8" s="9" t="inlineStr"/>
      <c r="D8" s="9" t="inlineStr"/>
      <c r="E8" s="9" t="inlineStr"/>
    </row>
    <row r="9" ht="30" customHeight="1">
      <c r="A9" s="8" t="inlineStr">
        <is>
          <t>ekiobienestar.es / .com</t>
        </is>
      </c>
      <c r="B9" s="9" t="inlineStr"/>
      <c r="C9" s="9" t="inlineStr"/>
      <c r="D9" s="9" t="inlineStr"/>
      <c r="E9" s="9" t="inlineStr"/>
    </row>
    <row r="10" ht="30" customHeight="1">
      <c r="A10" s="8" t="inlineStr">
        <is>
          <t>Otros dominios históricos (webs antiguas, microsites de campañas)</t>
        </is>
      </c>
      <c r="B10" s="9" t="inlineStr"/>
      <c r="C10" s="9" t="inlineStr"/>
      <c r="D10" s="9" t="inlineStr"/>
      <c r="E10" s="9" t="inlineStr"/>
    </row>
    <row r="11" ht="30" customHeight="1">
      <c r="A11" s="8" t="inlineStr">
        <is>
          <t>Dominios defensivos (typo-squatting, regiones)</t>
        </is>
      </c>
      <c r="B11" s="9" t="inlineStr"/>
      <c r="C11" s="9" t="inlineStr"/>
      <c r="D11" s="9" t="inlineStr"/>
      <c r="E11" s="9" t="inlineStr"/>
    </row>
    <row r="12" ht="30" customHeight="1">
      <c r="A12" s="8" t="inlineStr">
        <is>
          <t>Certificados SSL y emails @dominio (Google Workspace / Microsoft 365)</t>
        </is>
      </c>
      <c r="B12" s="9" t="inlineStr"/>
      <c r="C12" s="9" t="inlineStr"/>
      <c r="D12" s="9" t="inlineStr"/>
      <c r="E12" s="9" t="inlineStr"/>
    </row>
  </sheetData>
  <autoFilter ref="A2:E12"/>
  <mergeCells count="1">
    <mergeCell ref="A1:E1"/>
  </mergeCells>
  <dataValidations count="1">
    <dataValidation sqref="D3:D12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BLOQUE 7 · WEBS Y TIENDA ONLINE</t>
        </is>
      </c>
    </row>
    <row r="2" ht="32" customHeight="1">
      <c r="A2" s="7" t="inlineStr">
        <is>
          <t>Ítem</t>
        </is>
      </c>
      <c r="B2" s="7" t="inlineStr">
        <is>
          <t>Titular actual</t>
        </is>
      </c>
      <c r="C2" s="7" t="inlineStr">
        <is>
          <t>Documento que lo acredita</t>
        </is>
      </c>
      <c r="D2" s="7" t="inlineStr">
        <is>
          <t>Destino (A/B/C/D)</t>
        </is>
      </c>
      <c r="E2" s="7" t="inlineStr">
        <is>
          <t>Notas</t>
        </is>
      </c>
    </row>
    <row r="3" ht="30" customHeight="1">
      <c r="A3" s="8" t="inlineStr">
        <is>
          <t>Tienda Shopify electrosmogespana.com — cuenta admin, plan, facturación</t>
        </is>
      </c>
      <c r="B3" s="9" t="inlineStr"/>
      <c r="C3" s="9" t="inlineStr"/>
      <c r="D3" s="9" t="inlineStr"/>
      <c r="E3" s="9" t="inlineStr"/>
    </row>
    <row r="4" ht="30" customHeight="1">
      <c r="A4" s="8" t="inlineStr">
        <is>
          <t>Tema Dawn personalizado — versiones, customizaciones, código propio</t>
        </is>
      </c>
      <c r="B4" s="9" t="inlineStr"/>
      <c r="C4" s="9" t="inlineStr"/>
      <c r="D4" s="9" t="inlineStr"/>
      <c r="E4" s="9" t="inlineStr"/>
    </row>
    <row r="5" ht="30" customHeight="1">
      <c r="A5" s="8" t="inlineStr">
        <is>
          <t>Apps Shopify de pago contratadas (Klaviyo connector, reviews, etc.)</t>
        </is>
      </c>
      <c r="B5" s="9" t="inlineStr"/>
      <c r="C5" s="9" t="inlineStr"/>
      <c r="D5" s="9" t="inlineStr"/>
      <c r="E5" s="9" t="inlineStr"/>
    </row>
    <row r="6" ht="30" customHeight="1">
      <c r="A6" s="8" t="inlineStr">
        <is>
          <t>Webs históricas (versiones antiguas, blog, landing pages legacy)</t>
        </is>
      </c>
      <c r="B6" s="9" t="inlineStr"/>
      <c r="C6" s="9" t="inlineStr"/>
      <c r="D6" s="9" t="inlineStr"/>
      <c r="E6" s="9" t="inlineStr"/>
    </row>
    <row r="7" ht="30" customHeight="1">
      <c r="A7" s="8" t="inlineStr">
        <is>
          <t>Landing pages externas (Carrd, Webflow, Wordpress)</t>
        </is>
      </c>
      <c r="B7" s="9" t="inlineStr"/>
      <c r="C7" s="9" t="inlineStr"/>
      <c r="D7" s="9" t="inlineStr"/>
      <c r="E7" s="9" t="inlineStr"/>
    </row>
    <row r="8" ht="30" customHeight="1">
      <c r="A8" s="8" t="inlineStr">
        <is>
          <t>Hosting de webs no-Shopify (Wordpress)</t>
        </is>
      </c>
      <c r="B8" s="9" t="inlineStr"/>
      <c r="C8" s="9" t="inlineStr"/>
      <c r="D8" s="9" t="inlineStr"/>
      <c r="E8" s="9" t="inlineStr"/>
    </row>
    <row r="9" ht="30" customHeight="1">
      <c r="A9" s="8" t="inlineStr">
        <is>
          <t>Backups históricos de la tienda y blog</t>
        </is>
      </c>
      <c r="B9" s="9" t="inlineStr"/>
      <c r="C9" s="9" t="inlineStr"/>
      <c r="D9" s="9" t="inlineStr"/>
      <c r="E9" s="9" t="inlineStr"/>
    </row>
  </sheetData>
  <autoFilter ref="A2:E9"/>
  <mergeCells count="1">
    <mergeCell ref="A1:E1"/>
  </mergeCells>
  <dataValidations count="1">
    <dataValidation sqref="D3:D9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BLOQUE 8 · REDES SOCIALES Y CUENTAS DE MARKETING</t>
        </is>
      </c>
    </row>
    <row r="2" ht="32" customHeight="1">
      <c r="A2" s="7" t="inlineStr">
        <is>
          <t>Cuenta</t>
        </is>
      </c>
      <c r="B2" s="7" t="inlineStr">
        <is>
          <t>Titular actual (email admin / facturación)</t>
        </is>
      </c>
      <c r="C2" s="7" t="inlineStr">
        <is>
          <t>Documento</t>
        </is>
      </c>
      <c r="D2" s="7" t="inlineStr">
        <is>
          <t>Destino (A/B/C/D)</t>
        </is>
      </c>
      <c r="E2" s="7" t="inlineStr">
        <is>
          <t>Notas</t>
        </is>
      </c>
    </row>
    <row r="3" ht="30" customHeight="1">
      <c r="A3" s="8" t="inlineStr">
        <is>
          <t>Instagram @ekio… (handle exacto) — Meta Business titular</t>
        </is>
      </c>
      <c r="B3" s="9" t="inlineStr"/>
      <c r="C3" s="9" t="inlineStr"/>
      <c r="D3" s="9" t="inlineStr"/>
      <c r="E3" s="9" t="inlineStr"/>
    </row>
    <row r="4" ht="30" customHeight="1">
      <c r="A4" s="8" t="inlineStr">
        <is>
          <t>TikTok</t>
        </is>
      </c>
      <c r="B4" s="9" t="inlineStr"/>
      <c r="C4" s="9" t="inlineStr"/>
      <c r="D4" s="9" t="inlineStr"/>
      <c r="E4" s="9" t="inlineStr"/>
    </row>
    <row r="5" ht="30" customHeight="1">
      <c r="A5" s="8" t="inlineStr">
        <is>
          <t>YouTube (canal, AdSense si activado)</t>
        </is>
      </c>
      <c r="B5" s="9" t="inlineStr"/>
      <c r="C5" s="9" t="inlineStr"/>
      <c r="D5" s="9" t="inlineStr"/>
      <c r="E5" s="9" t="inlineStr"/>
    </row>
    <row r="6" ht="30" customHeight="1">
      <c r="A6" s="8" t="inlineStr">
        <is>
          <t>Facebook Page + Business Manager</t>
        </is>
      </c>
      <c r="B6" s="9" t="inlineStr"/>
      <c r="C6" s="9" t="inlineStr"/>
      <c r="D6" s="9" t="inlineStr"/>
      <c r="E6" s="9" t="inlineStr"/>
    </row>
    <row r="7" ht="30" customHeight="1">
      <c r="A7" s="8" t="inlineStr">
        <is>
          <t>LinkedIn Página de Empresa</t>
        </is>
      </c>
      <c r="B7" s="9" t="inlineStr"/>
      <c r="C7" s="9" t="inlineStr"/>
      <c r="D7" s="9" t="inlineStr"/>
      <c r="E7" s="9" t="inlineStr"/>
    </row>
    <row r="8" ht="30" customHeight="1">
      <c r="A8" s="8" t="inlineStr">
        <is>
          <t>Pinterest</t>
        </is>
      </c>
      <c r="B8" s="9" t="inlineStr"/>
      <c r="C8" s="9" t="inlineStr"/>
      <c r="D8" s="9" t="inlineStr"/>
      <c r="E8" s="9" t="inlineStr"/>
    </row>
    <row r="9" ht="30" customHeight="1">
      <c r="A9" s="8" t="inlineStr">
        <is>
          <t>Twitter/X</t>
        </is>
      </c>
      <c r="B9" s="9" t="inlineStr"/>
      <c r="C9" s="9" t="inlineStr"/>
      <c r="D9" s="9" t="inlineStr"/>
      <c r="E9" s="9" t="inlineStr"/>
    </row>
    <row r="10" ht="30" customHeight="1">
      <c r="A10" s="8" t="inlineStr">
        <is>
          <t>Pixel Meta — propiedad y eventos</t>
        </is>
      </c>
      <c r="B10" s="9" t="inlineStr"/>
      <c r="C10" s="9" t="inlineStr"/>
      <c r="D10" s="9" t="inlineStr"/>
      <c r="E10" s="9" t="inlineStr"/>
    </row>
    <row r="11" ht="30" customHeight="1">
      <c r="A11" s="8" t="inlineStr">
        <is>
          <t>Cuenta Google Ads — facturación a quién</t>
        </is>
      </c>
      <c r="B11" s="9" t="inlineStr"/>
      <c r="C11" s="9" t="inlineStr"/>
      <c r="D11" s="9" t="inlineStr"/>
      <c r="E11" s="9" t="inlineStr"/>
    </row>
    <row r="12" ht="30" customHeight="1">
      <c r="A12" s="8" t="inlineStr">
        <is>
          <t>Google Merchant Center</t>
        </is>
      </c>
      <c r="B12" s="9" t="inlineStr"/>
      <c r="C12" s="9" t="inlineStr"/>
      <c r="D12" s="9" t="inlineStr"/>
      <c r="E12" s="9" t="inlineStr"/>
    </row>
    <row r="13" ht="30" customHeight="1">
      <c r="A13" s="8" t="inlineStr">
        <is>
          <t>Google Analytics 4 — propiedad, admins</t>
        </is>
      </c>
      <c r="B13" s="9" t="inlineStr"/>
      <c r="C13" s="9" t="inlineStr"/>
      <c r="D13" s="9" t="inlineStr"/>
      <c r="E13" s="9" t="inlineStr"/>
    </row>
    <row r="14" ht="30" customHeight="1">
      <c r="A14" s="8" t="inlineStr">
        <is>
          <t>Google Search Console (electrosmogespana.com)</t>
        </is>
      </c>
      <c r="B14" s="9" t="inlineStr"/>
      <c r="C14" s="9" t="inlineStr"/>
      <c r="D14" s="9" t="inlineStr"/>
      <c r="E14" s="9" t="inlineStr"/>
    </row>
    <row r="15" ht="30" customHeight="1">
      <c r="A15" s="8" t="inlineStr">
        <is>
          <t>Microsoft Clarity</t>
        </is>
      </c>
      <c r="B15" s="9" t="inlineStr"/>
      <c r="C15" s="9" t="inlineStr"/>
      <c r="D15" s="9" t="inlineStr"/>
      <c r="E15" s="9" t="inlineStr"/>
    </row>
    <row r="16" ht="30" customHeight="1">
      <c r="A16" s="8" t="inlineStr">
        <is>
          <t>Klaviyo — cuenta, plan, facturación</t>
        </is>
      </c>
      <c r="B16" s="9" t="inlineStr"/>
      <c r="C16" s="9" t="inlineStr"/>
      <c r="D16" s="9" t="inlineStr"/>
      <c r="E16" s="9" t="inlineStr"/>
    </row>
    <row r="17" ht="30" customHeight="1">
      <c r="A17" s="8" t="inlineStr">
        <is>
          <t>ManyChat — cuenta, plan, facturación, integración IG</t>
        </is>
      </c>
      <c r="B17" s="9" t="inlineStr"/>
      <c r="C17" s="9" t="inlineStr"/>
      <c r="D17" s="9" t="inlineStr"/>
      <c r="E17" s="9" t="inlineStr"/>
    </row>
    <row r="18" ht="30" customHeight="1">
      <c r="A18" s="8" t="inlineStr">
        <is>
          <t>Plataforma email transaccional (SendGrid, Postmark…)</t>
        </is>
      </c>
      <c r="B18" s="9" t="inlineStr"/>
      <c r="C18" s="9" t="inlineStr"/>
      <c r="D18" s="9" t="inlineStr"/>
      <c r="E18" s="9" t="inlineStr"/>
    </row>
    <row r="19" ht="30" customHeight="1">
      <c r="A19" s="8" t="inlineStr">
        <is>
          <t>Herramientas SEO contratadas (Ahrefs, SEMrush)</t>
        </is>
      </c>
      <c r="B19" s="9" t="inlineStr"/>
      <c r="C19" s="9" t="inlineStr"/>
      <c r="D19" s="9" t="inlineStr"/>
      <c r="E19" s="9" t="inlineStr"/>
    </row>
  </sheetData>
  <autoFilter ref="A2:E19"/>
  <mergeCells count="1">
    <mergeCell ref="A1:E1"/>
  </mergeCells>
  <dataValidations count="1">
    <dataValidation sqref="D3:D19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BLOQUE 9 · BASES DE DATOS Y RGPD  ⚠️ BANDERA ROJA #4</t>
        </is>
      </c>
    </row>
    <row r="2" ht="32" customHeight="1">
      <c r="A2" s="7" t="inlineStr">
        <is>
          <t>Ítem</t>
        </is>
      </c>
      <c r="B2" s="7" t="inlineStr">
        <is>
          <t>Titular actual</t>
        </is>
      </c>
      <c r="C2" s="7" t="inlineStr">
        <is>
          <t>Base lícita RGPD / Documento</t>
        </is>
      </c>
      <c r="D2" s="7" t="inlineStr">
        <is>
          <t>Destino (A/B/C/D)</t>
        </is>
      </c>
      <c r="E2" s="7" t="inlineStr">
        <is>
          <t>Notas</t>
        </is>
      </c>
    </row>
    <row r="3" ht="30" customHeight="1">
      <c r="A3" s="8" t="inlineStr">
        <is>
          <t>Lista Klaviyo 12.400 contactos — base lícita del tratamiento (consentimiento, contrato, interés legítimo)</t>
        </is>
      </c>
      <c r="B3" s="9" t="inlineStr"/>
      <c r="C3" s="9" t="inlineStr"/>
      <c r="D3" s="9" t="inlineStr"/>
      <c r="E3" s="9" t="inlineStr"/>
    </row>
    <row r="4" ht="30" customHeight="1">
      <c r="A4" s="8" t="inlineStr">
        <is>
          <t>Cartera 7.600 clientes (datos transaccionales Shopify)</t>
        </is>
      </c>
      <c r="B4" s="9" t="inlineStr"/>
      <c r="C4" s="9" t="inlineStr"/>
      <c r="D4" s="9" t="inlineStr"/>
      <c r="E4" s="9" t="inlineStr"/>
    </row>
    <row r="5" ht="30" customHeight="1">
      <c r="A5" s="8" t="inlineStr">
        <is>
          <t>Lista WhatsApp / SMS opt-in</t>
        </is>
      </c>
      <c r="B5" s="9" t="inlineStr"/>
      <c r="C5" s="9" t="inlineStr"/>
      <c r="D5" s="9" t="inlineStr"/>
      <c r="E5" s="9" t="inlineStr"/>
    </row>
    <row r="6" ht="30" customHeight="1">
      <c r="A6" s="8" t="inlineStr">
        <is>
          <t>Base de seguidores ManyChat (IG/WhatsApp)</t>
        </is>
      </c>
      <c r="B6" s="9" t="inlineStr"/>
      <c r="C6" s="9" t="inlineStr"/>
      <c r="D6" s="9" t="inlineStr"/>
      <c r="E6" s="9" t="inlineStr"/>
    </row>
    <row r="7" ht="30" customHeight="1">
      <c r="A7" s="8" t="inlineStr">
        <is>
          <t>Encuestas históricas, NPS, feedback de clientes</t>
        </is>
      </c>
      <c r="B7" s="9" t="inlineStr"/>
      <c r="C7" s="9" t="inlineStr"/>
      <c r="D7" s="9" t="inlineStr"/>
      <c r="E7" s="9" t="inlineStr"/>
    </row>
    <row r="8" ht="30" customHeight="1">
      <c r="A8" s="8" t="inlineStr">
        <is>
          <t>Audiencias custom Meta (Lookalikes, retargeting)</t>
        </is>
      </c>
      <c r="B8" s="9" t="inlineStr"/>
      <c r="C8" s="9" t="inlineStr"/>
      <c r="D8" s="9" t="inlineStr"/>
      <c r="E8" s="9" t="inlineStr"/>
    </row>
    <row r="9" ht="30" customHeight="1">
      <c r="A9" s="8" t="inlineStr">
        <is>
          <t>Acuerdo Encargado del Tratamiento con cada proveedor (Klaviyo, Shopify, ManyChat) — a nombre de quién</t>
        </is>
      </c>
      <c r="B9" s="9" t="inlineStr"/>
      <c r="C9" s="9" t="inlineStr"/>
      <c r="D9" s="9" t="inlineStr"/>
      <c r="E9" s="9" t="inlineStr"/>
    </row>
  </sheetData>
  <autoFilter ref="A2:E9"/>
  <mergeCells count="1">
    <mergeCell ref="A1:E1"/>
  </mergeCells>
  <dataValidations count="1">
    <dataValidation sqref="D3:D9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BLOQUE 10 · CONTRATOS COMERCIALES Y PROVEEDORES</t>
        </is>
      </c>
    </row>
    <row r="2" ht="32" customHeight="1">
      <c r="A2" s="7" t="inlineStr">
        <is>
          <t>Contrato</t>
        </is>
      </c>
      <c r="B2" s="7" t="inlineStr">
        <is>
          <t>Parte contratante actual</t>
        </is>
      </c>
      <c r="C2" s="7" t="inlineStr">
        <is>
          <t>Documento</t>
        </is>
      </c>
      <c r="D2" s="7" t="inlineStr">
        <is>
          <t>Destino (A/B/C/D)</t>
        </is>
      </c>
      <c r="E2" s="7" t="inlineStr">
        <is>
          <t>Notas</t>
        </is>
      </c>
    </row>
    <row r="3" ht="30" customHeight="1">
      <c r="A3" s="8" t="inlineStr">
        <is>
          <t>Fabricante / ensamblador de los paneles — contrato OEM, exclusividad</t>
        </is>
      </c>
      <c r="B3" s="9" t="inlineStr"/>
      <c r="C3" s="9" t="inlineStr"/>
      <c r="D3" s="9" t="inlineStr"/>
      <c r="E3" s="9" t="inlineStr"/>
    </row>
    <row r="4" ht="30" customHeight="1">
      <c r="A4" s="8" t="inlineStr">
        <is>
          <t>Proveedores de componentes electrónicos (LEDs, drivers, PCB)</t>
        </is>
      </c>
      <c r="B4" s="9" t="inlineStr"/>
      <c r="C4" s="9" t="inlineStr"/>
      <c r="D4" s="9" t="inlineStr"/>
      <c r="E4" s="9" t="inlineStr"/>
    </row>
    <row r="5" ht="30" customHeight="1">
      <c r="A5" s="8" t="inlineStr">
        <is>
          <t>Proveedor de packaging</t>
        </is>
      </c>
      <c r="B5" s="9" t="inlineStr"/>
      <c r="C5" s="9" t="inlineStr"/>
      <c r="D5" s="9" t="inlineStr"/>
      <c r="E5" s="9" t="inlineStr"/>
    </row>
    <row r="6" ht="30" customHeight="1">
      <c r="A6" s="8" t="inlineStr">
        <is>
          <t>Operador logístico / fulfillment</t>
        </is>
      </c>
      <c r="B6" s="9" t="inlineStr"/>
      <c r="C6" s="9" t="inlineStr"/>
      <c r="D6" s="9" t="inlineStr"/>
      <c r="E6" s="9" t="inlineStr"/>
    </row>
    <row r="7" ht="30" customHeight="1">
      <c r="A7" s="8" t="inlineStr">
        <is>
          <t>Transportistas (UPS, SEUR, GLS, courier internacional)</t>
        </is>
      </c>
      <c r="B7" s="9" t="inlineStr"/>
      <c r="C7" s="9" t="inlineStr"/>
      <c r="D7" s="9" t="inlineStr"/>
      <c r="E7" s="9" t="inlineStr"/>
    </row>
    <row r="8" ht="30" customHeight="1">
      <c r="A8" s="8" t="inlineStr">
        <is>
          <t>Pasarela de pago Stripe / Shopify Payments — titular cuenta</t>
        </is>
      </c>
      <c r="B8" s="9" t="inlineStr"/>
      <c r="C8" s="9" t="inlineStr"/>
      <c r="D8" s="9" t="inlineStr"/>
      <c r="E8" s="9" t="inlineStr"/>
    </row>
    <row r="9" ht="30" customHeight="1">
      <c r="A9" s="8" t="inlineStr">
        <is>
          <t>PayPal Business</t>
        </is>
      </c>
      <c r="B9" s="9" t="inlineStr"/>
      <c r="C9" s="9" t="inlineStr"/>
      <c r="D9" s="9" t="inlineStr"/>
      <c r="E9" s="9" t="inlineStr"/>
    </row>
    <row r="10" ht="30" customHeight="1">
      <c r="A10" s="8" t="inlineStr">
        <is>
          <t>Bizum empresa</t>
        </is>
      </c>
      <c r="B10" s="9" t="inlineStr"/>
      <c r="C10" s="9" t="inlineStr"/>
      <c r="D10" s="9" t="inlineStr"/>
      <c r="E10" s="9" t="inlineStr"/>
    </row>
    <row r="11" ht="30" customHeight="1">
      <c r="A11" s="8" t="inlineStr">
        <is>
          <t>Cuentas bancarias asociadas (titular: persona física / autónomo / Ekio Bienestar)</t>
        </is>
      </c>
      <c r="B11" s="9" t="inlineStr"/>
      <c r="C11" s="9" t="inlineStr"/>
      <c r="D11" s="9" t="inlineStr"/>
      <c r="E11" s="9" t="inlineStr"/>
    </row>
    <row r="12" ht="30" customHeight="1">
      <c r="A12" s="8" t="inlineStr">
        <is>
          <t>Contratos de distribución (si EKIO distribuye productos de terceros)</t>
        </is>
      </c>
      <c r="B12" s="9" t="inlineStr"/>
      <c r="C12" s="9" t="inlineStr"/>
      <c r="D12" s="9" t="inlineStr"/>
      <c r="E12" s="9" t="inlineStr"/>
    </row>
    <row r="13" ht="30" customHeight="1">
      <c r="A13" s="8" t="inlineStr">
        <is>
          <t>Contratos de marca blanca / OEM salientes</t>
        </is>
      </c>
      <c r="B13" s="9" t="inlineStr"/>
      <c r="C13" s="9" t="inlineStr"/>
      <c r="D13" s="9" t="inlineStr"/>
      <c r="E13" s="9" t="inlineStr"/>
    </row>
    <row r="14" ht="30" customHeight="1">
      <c r="A14" s="8" t="inlineStr">
        <is>
          <t>Acuerdos con afiliados / embajadores / influencers</t>
        </is>
      </c>
      <c r="B14" s="9" t="inlineStr"/>
      <c r="C14" s="9" t="inlineStr"/>
      <c r="D14" s="9" t="inlineStr"/>
      <c r="E14" s="9" t="inlineStr"/>
    </row>
    <row r="15" ht="30" customHeight="1">
      <c r="A15" s="8" t="inlineStr">
        <is>
          <t>Acuerdos con clínicas, profesionales sanitarios, prescriptores</t>
        </is>
      </c>
      <c r="B15" s="9" t="inlineStr"/>
      <c r="C15" s="9" t="inlineStr"/>
      <c r="D15" s="9" t="inlineStr"/>
      <c r="E15" s="9" t="inlineStr"/>
    </row>
    <row r="16" ht="30" customHeight="1">
      <c r="A16" s="8" t="inlineStr">
        <is>
          <t>Contratos de consultoría FBM activos</t>
        </is>
      </c>
      <c r="B16" s="9" t="inlineStr"/>
      <c r="C16" s="9" t="inlineStr"/>
      <c r="D16" s="9" t="inlineStr"/>
      <c r="E16" s="9" t="inlineStr"/>
    </row>
    <row r="17" ht="30" customHeight="1">
      <c r="A17" s="8" t="inlineStr">
        <is>
          <t>Suscripciones de soft empresarial (Holded, Quipu, A3, Notion, Slack…)</t>
        </is>
      </c>
      <c r="B17" s="9" t="inlineStr"/>
      <c r="C17" s="9" t="inlineStr"/>
      <c r="D17" s="9" t="inlineStr"/>
      <c r="E17" s="9" t="inlineStr"/>
    </row>
  </sheetData>
  <autoFilter ref="A2:E17"/>
  <mergeCells count="1">
    <mergeCell ref="A1:E1"/>
  </mergeCells>
  <dataValidations count="1">
    <dataValidation sqref="D3:D17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BLOQUE 11 · EQUIPO HUMANO (~8 PERSONAS)</t>
        </is>
      </c>
    </row>
    <row r="2" ht="32" customHeight="1">
      <c r="A2" s="7" t="inlineStr">
        <is>
          <t>Persona / Rol</t>
        </is>
      </c>
      <c r="B2" s="7" t="inlineStr">
        <is>
          <t>Régimen (asalariado RGSS/autónomo factura/TRADE/phantom/F&amp;F)</t>
        </is>
      </c>
      <c r="C2" s="7" t="inlineStr">
        <is>
          <t>Quién paga hoy</t>
        </is>
      </c>
      <c r="D2" s="7" t="inlineStr">
        <is>
          <t>Documento (contrato laboral/mercantil/sin contrato)</t>
        </is>
      </c>
      <c r="E2" s="7" t="inlineStr">
        <is>
          <t>Antigüedad</t>
        </is>
      </c>
      <c r="F2" s="7" t="inlineStr">
        <is>
          <t>Destino (A/B/C/D)</t>
        </is>
      </c>
    </row>
    <row r="3" ht="30" customHeight="1">
      <c r="A3" s="8" t="inlineStr">
        <is>
          <t>Erick — especialista Klaviyo</t>
        </is>
      </c>
      <c r="B3" s="9" t="inlineStr"/>
      <c r="C3" s="9" t="inlineStr"/>
      <c r="D3" s="9" t="inlineStr"/>
      <c r="E3" s="9" t="inlineStr"/>
      <c r="F3" s="9" t="inlineStr"/>
    </row>
    <row r="4" ht="30" customHeight="1">
      <c r="A4" s="8" t="inlineStr">
        <is>
          <t>Operaciones / fulfillment</t>
        </is>
      </c>
      <c r="B4" s="9" t="inlineStr"/>
      <c r="C4" s="9" t="inlineStr"/>
      <c r="D4" s="9" t="inlineStr"/>
      <c r="E4" s="9" t="inlineStr"/>
      <c r="F4" s="9" t="inlineStr"/>
    </row>
    <row r="5" ht="30" customHeight="1">
      <c r="A5" s="8" t="inlineStr">
        <is>
          <t>Atención cliente / postventa</t>
        </is>
      </c>
      <c r="B5" s="9" t="inlineStr"/>
      <c r="C5" s="9" t="inlineStr"/>
      <c r="D5" s="9" t="inlineStr"/>
      <c r="E5" s="9" t="inlineStr"/>
      <c r="F5" s="9" t="inlineStr"/>
    </row>
    <row r="6" ht="30" customHeight="1">
      <c r="A6" s="8" t="inlineStr">
        <is>
          <t>Diseño / creatividad</t>
        </is>
      </c>
      <c r="B6" s="9" t="inlineStr"/>
      <c r="C6" s="9" t="inlineStr"/>
      <c r="D6" s="9" t="inlineStr"/>
      <c r="E6" s="9" t="inlineStr"/>
      <c r="F6" s="9" t="inlineStr"/>
    </row>
    <row r="7" ht="30" customHeight="1">
      <c r="A7" s="8" t="inlineStr">
        <is>
          <t>Contenido / redes sociales</t>
        </is>
      </c>
      <c r="B7" s="9" t="inlineStr"/>
      <c r="C7" s="9" t="inlineStr"/>
      <c r="D7" s="9" t="inlineStr"/>
      <c r="E7" s="9" t="inlineStr"/>
      <c r="F7" s="9" t="inlineStr"/>
    </row>
    <row r="8" ht="30" customHeight="1">
      <c r="A8" s="8" t="inlineStr">
        <is>
          <t>Comercial / B2B</t>
        </is>
      </c>
      <c r="B8" s="9" t="inlineStr"/>
      <c r="C8" s="9" t="inlineStr"/>
      <c r="D8" s="9" t="inlineStr"/>
      <c r="E8" s="9" t="inlineStr"/>
      <c r="F8" s="9" t="inlineStr"/>
    </row>
    <row r="9" ht="30" customHeight="1">
      <c r="A9" s="8" t="inlineStr">
        <is>
          <t>I+D / técnico paneles</t>
        </is>
      </c>
      <c r="B9" s="9" t="inlineStr"/>
      <c r="C9" s="9" t="inlineStr"/>
      <c r="D9" s="9" t="inlineStr"/>
      <c r="E9" s="9" t="inlineStr"/>
      <c r="F9" s="9" t="inlineStr"/>
    </row>
    <row r="10" ht="30" customHeight="1">
      <c r="A10" s="8" t="inlineStr">
        <is>
          <t>Administración / contable</t>
        </is>
      </c>
      <c r="B10" s="9" t="inlineStr"/>
      <c r="C10" s="9" t="inlineStr"/>
      <c r="D10" s="9" t="inlineStr"/>
      <c r="E10" s="9" t="inlineStr"/>
      <c r="F10" s="9" t="inlineStr"/>
    </row>
    <row r="11" ht="30" customHeight="1">
      <c r="A11" s="8" t="inlineStr">
        <is>
          <t>Marta Andrés Andrés (phantom equity cerrado) — régimen laboral subyacente</t>
        </is>
      </c>
      <c r="B11" s="9" t="inlineStr"/>
      <c r="C11" s="9" t="inlineStr"/>
      <c r="D11" s="9" t="inlineStr"/>
      <c r="E11" s="9" t="inlineStr"/>
      <c r="F11" s="9" t="inlineStr"/>
    </row>
    <row r="12" ht="30" customHeight="1">
      <c r="A12" s="8" t="inlineStr">
        <is>
          <t>José Luis Herreros (phantom equity cerrado) — régimen laboral subyacente</t>
        </is>
      </c>
      <c r="B12" s="9" t="inlineStr"/>
      <c r="C12" s="9" t="inlineStr"/>
      <c r="D12" s="9" t="inlineStr"/>
      <c r="E12" s="9" t="inlineStr"/>
      <c r="F12" s="9" t="inlineStr"/>
    </row>
    <row r="13" ht="30" customHeight="1">
      <c r="A13" s="8" t="inlineStr">
        <is>
          <t>María del Rosario Curvelo (phantom equity cerrado) — régimen laboral subyacente</t>
        </is>
      </c>
      <c r="B13" s="9" t="inlineStr"/>
      <c r="C13" s="9" t="inlineStr"/>
      <c r="D13" s="9" t="inlineStr"/>
      <c r="E13" s="9" t="inlineStr"/>
      <c r="F13" s="9" t="inlineStr"/>
    </row>
  </sheetData>
  <autoFilter ref="A2:F13"/>
  <mergeCells count="1">
    <mergeCell ref="A1:F1"/>
  </mergeCells>
  <dataValidations count="1">
    <dataValidation sqref="F3:F13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BLOQUE 12 · PASIVOS, DEUDAS Y CONTINGENCIAS</t>
        </is>
      </c>
    </row>
    <row r="2" ht="32" customHeight="1">
      <c r="A2" s="7" t="inlineStr">
        <is>
          <t>Ítem</t>
        </is>
      </c>
      <c r="B2" s="7" t="inlineStr">
        <is>
          <t>Titular / Deudor</t>
        </is>
      </c>
      <c r="C2" s="7" t="inlineStr">
        <is>
          <t>Documento</t>
        </is>
      </c>
      <c r="D2" s="7" t="inlineStr">
        <is>
          <t>Importe pendiente (€)</t>
        </is>
      </c>
      <c r="E2" s="7" t="inlineStr">
        <is>
          <t>Destino (A/B/C/D)</t>
        </is>
      </c>
    </row>
    <row r="3" ht="30" customHeight="1">
      <c r="A3" s="8" t="inlineStr">
        <is>
          <t>Préstamo ICO (si existe) — capital pendiente, cuota, garantías</t>
        </is>
      </c>
      <c r="B3" s="9" t="inlineStr"/>
      <c r="C3" s="9" t="inlineStr"/>
      <c r="D3" s="9" t="inlineStr"/>
      <c r="E3" s="9" t="inlineStr"/>
    </row>
    <row r="4" ht="30" customHeight="1">
      <c r="A4" s="8" t="inlineStr">
        <is>
          <t>Otros préstamos bancarios o pólizas de crédito</t>
        </is>
      </c>
      <c r="B4" s="9" t="inlineStr"/>
      <c r="C4" s="9" t="inlineStr"/>
      <c r="D4" s="9" t="inlineStr"/>
      <c r="E4" s="9" t="inlineStr"/>
    </row>
    <row r="5" ht="30" customHeight="1">
      <c r="A5" s="8" t="inlineStr">
        <is>
          <t>Línea de crédito Shopify Capital / Klarna / PayPal Working Capital</t>
        </is>
      </c>
      <c r="B5" s="9" t="inlineStr"/>
      <c r="C5" s="9" t="inlineStr"/>
      <c r="D5" s="9" t="inlineStr"/>
      <c r="E5" s="9" t="inlineStr"/>
    </row>
    <row r="6" ht="30" customHeight="1">
      <c r="A6" s="8" t="inlineStr">
        <is>
          <t>Confirming / factoring activo</t>
        </is>
      </c>
      <c r="B6" s="9" t="inlineStr"/>
      <c r="C6" s="9" t="inlineStr"/>
      <c r="D6" s="9" t="inlineStr"/>
      <c r="E6" s="9" t="inlineStr"/>
    </row>
    <row r="7" ht="30" customHeight="1">
      <c r="A7" s="8" t="inlineStr">
        <is>
          <t>Aplazamientos AEAT (IS, IVA, IRPF)</t>
        </is>
      </c>
      <c r="B7" s="9" t="inlineStr"/>
      <c r="C7" s="9" t="inlineStr"/>
      <c r="D7" s="9" t="inlineStr"/>
      <c r="E7" s="9" t="inlineStr"/>
    </row>
    <row r="8" ht="30" customHeight="1">
      <c r="A8" s="8" t="inlineStr">
        <is>
          <t>Aplazamientos Seguridad Social</t>
        </is>
      </c>
      <c r="B8" s="9" t="inlineStr"/>
      <c r="C8" s="9" t="inlineStr"/>
      <c r="D8" s="9" t="inlineStr"/>
      <c r="E8" s="9" t="inlineStr"/>
    </row>
    <row r="9" ht="30" customHeight="1">
      <c r="A9" s="8" t="inlineStr">
        <is>
          <t>Deudas con proveedores &gt; 60 días</t>
        </is>
      </c>
      <c r="B9" s="9" t="inlineStr"/>
      <c r="C9" s="9" t="inlineStr"/>
      <c r="D9" s="9" t="inlineStr"/>
      <c r="E9" s="9" t="inlineStr"/>
    </row>
    <row r="10" ht="30" customHeight="1">
      <c r="A10" s="8" t="inlineStr">
        <is>
          <t>Devoluciones pendientes / chargebacks abiertos</t>
        </is>
      </c>
      <c r="B10" s="9" t="inlineStr"/>
      <c r="C10" s="9" t="inlineStr"/>
      <c r="D10" s="9" t="inlineStr"/>
      <c r="E10" s="9" t="inlineStr"/>
    </row>
    <row r="11" ht="30" customHeight="1">
      <c r="A11" s="8" t="inlineStr">
        <is>
          <t>Reclamaciones de consumidores / OCU / Junta arbitral</t>
        </is>
      </c>
      <c r="B11" s="9" t="inlineStr"/>
      <c r="C11" s="9" t="inlineStr"/>
      <c r="D11" s="9" t="inlineStr"/>
      <c r="E11" s="9" t="inlineStr"/>
    </row>
    <row r="12" ht="30" customHeight="1">
      <c r="A12" s="8" t="inlineStr">
        <is>
          <t>Litigios abiertos (cualquier parte)</t>
        </is>
      </c>
      <c r="B12" s="9" t="inlineStr"/>
      <c r="C12" s="9" t="inlineStr"/>
      <c r="D12" s="9" t="inlineStr"/>
      <c r="E12" s="9" t="inlineStr"/>
    </row>
    <row r="13" ht="30" customHeight="1">
      <c r="A13" s="8" t="inlineStr">
        <is>
          <t>Inspecciones AEAT o SS en curso o recientes</t>
        </is>
      </c>
      <c r="B13" s="9" t="inlineStr"/>
      <c r="C13" s="9" t="inlineStr"/>
      <c r="D13" s="9" t="inlineStr"/>
      <c r="E13" s="9" t="inlineStr"/>
    </row>
    <row r="14" ht="30" customHeight="1">
      <c r="A14" s="8" t="inlineStr">
        <is>
          <t>Subvenciones recibidas con compromisos (CDTI, ICEX, ENISA, ICE CyL, AEI)</t>
        </is>
      </c>
      <c r="B14" s="9" t="inlineStr"/>
      <c r="C14" s="9" t="inlineStr"/>
      <c r="D14" s="9" t="inlineStr"/>
      <c r="E14" s="9" t="inlineStr"/>
    </row>
    <row r="15" ht="30" customHeight="1">
      <c r="A15" s="8" t="inlineStr">
        <is>
          <t>Garantías personales prestadas por Javier (avales)</t>
        </is>
      </c>
      <c r="B15" s="9" t="inlineStr"/>
      <c r="C15" s="9" t="inlineStr"/>
      <c r="D15" s="9" t="inlineStr"/>
      <c r="E15" s="9" t="inlineStr"/>
    </row>
    <row r="16" ht="30" customHeight="1">
      <c r="A16" s="8" t="inlineStr">
        <is>
          <t>Seguros (RC producto, ciber, multirriesgo local) — titular póliza</t>
        </is>
      </c>
      <c r="B16" s="9" t="inlineStr"/>
      <c r="C16" s="9" t="inlineStr"/>
      <c r="D16" s="9" t="inlineStr"/>
      <c r="E16" s="9" t="inlineStr"/>
    </row>
  </sheetData>
  <autoFilter ref="A2:E16"/>
  <mergeCells count="1">
    <mergeCell ref="A1:E1"/>
  </mergeCells>
  <dataValidations count="1">
    <dataValidation sqref="E3:E16" showDropDown="0" showInputMessage="0" showErrorMessage="0" allowBlank="1" type="list">
      <formula1>"A,B,C,D,REVISAR"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1" t="inlineStr">
        <is>
          <t>BLOQUE 13 · INTANGIBLES BLANDOS (NO CAPITALIZABLES AISLADOS)</t>
        </is>
      </c>
    </row>
    <row r="2" ht="32" customHeight="1">
      <c r="A2" s="7" t="inlineStr">
        <is>
          <t>Ítem</t>
        </is>
      </c>
      <c r="B2" s="7" t="inlineStr">
        <is>
          <t>Estado</t>
        </is>
      </c>
      <c r="C2" s="7" t="inlineStr">
        <is>
          <t>Documento si existe</t>
        </is>
      </c>
      <c r="D2" s="7" t="inlineStr">
        <is>
          <t>Notas para due diligence</t>
        </is>
      </c>
    </row>
    <row r="3" ht="30" customHeight="1">
      <c r="A3" s="8" t="inlineStr">
        <is>
          <t>Know-how de formulación / protocolos de uso de paneles</t>
        </is>
      </c>
      <c r="B3" s="9" t="inlineStr"/>
      <c r="C3" s="9" t="inlineStr"/>
      <c r="D3" s="9" t="inlineStr"/>
    </row>
    <row r="4" ht="30" customHeight="1">
      <c r="A4" s="8" t="inlineStr">
        <is>
          <t>Documentación clínica recopilada (estudios, mediciones)</t>
        </is>
      </c>
      <c r="B4" s="9" t="inlineStr"/>
      <c r="C4" s="9" t="inlineStr"/>
      <c r="D4" s="9" t="inlineStr"/>
    </row>
    <row r="5" ht="30" customHeight="1">
      <c r="A5" s="8" t="inlineStr">
        <is>
          <t>Marca personal de Javier (presencia pública, charlas, Foro)</t>
        </is>
      </c>
      <c r="B5" s="9" t="inlineStr"/>
      <c r="C5" s="9" t="inlineStr"/>
      <c r="D5" s="9" t="inlineStr"/>
    </row>
    <row r="6" ht="30" customHeight="1">
      <c r="A6" s="8" t="inlineStr">
        <is>
          <t>Comunidad / fan base orgánica</t>
        </is>
      </c>
      <c r="B6" s="9" t="inlineStr"/>
      <c r="C6" s="9" t="inlineStr"/>
      <c r="D6" s="9" t="inlineStr"/>
    </row>
    <row r="7" ht="30" customHeight="1">
      <c r="A7" s="8" t="inlineStr">
        <is>
          <t>Relaciones con prescriptores / KOLs del sector</t>
        </is>
      </c>
      <c r="B7" s="9" t="inlineStr"/>
      <c r="C7" s="9" t="inlineStr"/>
      <c r="D7" s="9" t="inlineStr"/>
    </row>
    <row r="8" ht="30" customHeight="1">
      <c r="A8" s="8" t="inlineStr">
        <is>
          <t>Material formativo FBM (videos, cursos, PDFs)</t>
        </is>
      </c>
      <c r="B8" s="9" t="inlineStr"/>
      <c r="C8" s="9" t="inlineStr"/>
      <c r="D8" s="9" t="inlineStr"/>
    </row>
    <row r="9" ht="30" customHeight="1">
      <c r="A9" s="8" t="inlineStr">
        <is>
          <t>Reviews / testimonios / casos de éxito documentados</t>
        </is>
      </c>
      <c r="B9" s="9" t="inlineStr"/>
      <c r="C9" s="9" t="inlineStr"/>
      <c r="D9" s="9" t="inlineStr"/>
    </row>
  </sheetData>
  <autoFilter ref="A2:D9"/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4" customWidth="1" min="3" max="3"/>
    <col width="16" customWidth="1" min="4" max="4"/>
    <col width="18" customWidth="1" min="5" max="5"/>
  </cols>
  <sheetData>
    <row r="1" ht="32" customHeight="1">
      <c r="A1" s="1" t="inlineStr">
        <is>
          <t>TRACKER DE PROGRESO — FASE 0</t>
        </is>
      </c>
    </row>
    <row r="2" ht="30" customHeight="1">
      <c r="A2" s="7" t="inlineStr">
        <is>
          <t>Bloque</t>
        </is>
      </c>
      <c r="B2" s="7" t="inlineStr">
        <is>
          <t>Total ítems</t>
        </is>
      </c>
      <c r="C2" s="7" t="inlineStr">
        <is>
          <t>Rellenados (titular ≠ vacío)</t>
        </is>
      </c>
      <c r="D2" s="7" t="inlineStr">
        <is>
          <t>REVISAR</t>
        </is>
      </c>
      <c r="E2" s="7" t="inlineStr">
        <is>
          <t>% Completado</t>
        </is>
      </c>
    </row>
    <row r="3">
      <c r="A3" s="10" t="inlineStr">
        <is>
          <t>BLOQUE 1 · STOCK Y PRODUCTO TERMINADO</t>
        </is>
      </c>
      <c r="B3" s="11" t="n">
        <v>10</v>
      </c>
      <c r="C3" s="11">
        <f>COUNTA('01_Stock'!B3:B12)</f>
        <v/>
      </c>
      <c r="D3" s="11">
        <f>COUNTIF('01_Stock'!B3:F12,"REVISAR")</f>
        <v/>
      </c>
      <c r="E3" s="12">
        <f>IFERROR(C3/B3,0)</f>
        <v/>
      </c>
    </row>
    <row r="4">
      <c r="A4" s="10" t="inlineStr">
        <is>
          <t>BLOQUE 2 · EQUIPAMIENTO E INMOVILIZADO</t>
        </is>
      </c>
      <c r="B4" s="11" t="n">
        <v>8</v>
      </c>
      <c r="C4" s="11">
        <f>COUNTA('02_Equipamiento'!B3:B10)</f>
        <v/>
      </c>
      <c r="D4" s="11">
        <f>COUNTIF('02_Equipamiento'!B3:F10,"REVISAR")</f>
        <v/>
      </c>
      <c r="E4" s="12">
        <f>IFERROR(C4/B4,0)</f>
        <v/>
      </c>
    </row>
    <row r="5">
      <c r="A5" s="10" t="inlineStr">
        <is>
          <t>BLOQUE 3 · PROPIEDAD INDUSTRIAL — PATENTES Y MODELOS  ⚠️ CRÍ</t>
        </is>
      </c>
      <c r="B5" s="11" t="n">
        <v>6</v>
      </c>
      <c r="C5" s="11">
        <f>COUNTA('03_Patentes'!B3:B8)</f>
        <v/>
      </c>
      <c r="D5" s="11">
        <f>COUNTIF('03_Patentes'!B3:F8,"REVISAR")</f>
        <v/>
      </c>
      <c r="E5" s="12">
        <f>IFERROR(C5/B5,0)</f>
        <v/>
      </c>
    </row>
    <row r="6">
      <c r="A6" s="10" t="inlineStr">
        <is>
          <t>BLOQUE 4 · SOFTWARE Y APLICACIONES PROPIAS</t>
        </is>
      </c>
      <c r="B6" s="11" t="n">
        <v>7</v>
      </c>
      <c r="C6" s="11">
        <f>COUNTA('04_Software'!B3:B9)</f>
        <v/>
      </c>
      <c r="D6" s="11">
        <f>COUNTIF('04_Software'!B3:F9,"REVISAR")</f>
        <v/>
      </c>
      <c r="E6" s="12">
        <f>IFERROR(C6/B6,0)</f>
        <v/>
      </c>
    </row>
    <row r="7">
      <c r="A7" s="10" t="inlineStr">
        <is>
          <t>BLOQUE 5 · MARCAS Y SIGNOS DISTINTIVOS</t>
        </is>
      </c>
      <c r="B7" s="11" t="n">
        <v>11</v>
      </c>
      <c r="C7" s="11">
        <f>COUNTA('05_Marcas'!B3:B13)</f>
        <v/>
      </c>
      <c r="D7" s="11">
        <f>COUNTIF('05_Marcas'!B3:F13,"REVISAR")</f>
        <v/>
      </c>
      <c r="E7" s="12">
        <f>IFERROR(C7/B7,0)</f>
        <v/>
      </c>
    </row>
    <row r="8">
      <c r="A8" s="10" t="inlineStr">
        <is>
          <t>BLOQUE 6 · DOMINIOS WEB</t>
        </is>
      </c>
      <c r="B8" s="11" t="n">
        <v>10</v>
      </c>
      <c r="C8" s="11">
        <f>COUNTA('06_Dominios'!B3:B12)</f>
        <v/>
      </c>
      <c r="D8" s="11">
        <f>COUNTIF('06_Dominios'!B3:F12,"REVISAR")</f>
        <v/>
      </c>
      <c r="E8" s="12">
        <f>IFERROR(C8/B8,0)</f>
        <v/>
      </c>
    </row>
    <row r="9">
      <c r="A9" s="10" t="inlineStr">
        <is>
          <t>BLOQUE 7 · WEBS Y TIENDA ONLINE</t>
        </is>
      </c>
      <c r="B9" s="11" t="n">
        <v>7</v>
      </c>
      <c r="C9" s="11">
        <f>COUNTA('07_Webs_Shopify'!B3:B9)</f>
        <v/>
      </c>
      <c r="D9" s="11">
        <f>COUNTIF('07_Webs_Shopify'!B3:F9,"REVISAR")</f>
        <v/>
      </c>
      <c r="E9" s="12">
        <f>IFERROR(C9/B9,0)</f>
        <v/>
      </c>
    </row>
    <row r="10">
      <c r="A10" s="10" t="inlineStr">
        <is>
          <t>BLOQUE 8 · REDES SOCIALES Y CUENTAS DE MARKETING</t>
        </is>
      </c>
      <c r="B10" s="11" t="n">
        <v>17</v>
      </c>
      <c r="C10" s="11">
        <f>COUNTA('08_RRSS_Marketing'!B3:B19)</f>
        <v/>
      </c>
      <c r="D10" s="11">
        <f>COUNTIF('08_RRSS_Marketing'!B3:F19,"REVISAR")</f>
        <v/>
      </c>
      <c r="E10" s="12">
        <f>IFERROR(C10/B10,0)</f>
        <v/>
      </c>
    </row>
    <row r="11">
      <c r="A11" s="10" t="inlineStr">
        <is>
          <t>BLOQUE 9 · BASES DE DATOS Y RGPD  ⚠️ BANDERA ROJA #4</t>
        </is>
      </c>
      <c r="B11" s="11" t="n">
        <v>7</v>
      </c>
      <c r="C11" s="11">
        <f>COUNTA('09_BBDD_RGPD'!B3:B9)</f>
        <v/>
      </c>
      <c r="D11" s="11">
        <f>COUNTIF('09_BBDD_RGPD'!B3:F9,"REVISAR")</f>
        <v/>
      </c>
      <c r="E11" s="12">
        <f>IFERROR(C11/B11,0)</f>
        <v/>
      </c>
    </row>
    <row r="12">
      <c r="A12" s="10" t="inlineStr">
        <is>
          <t>BLOQUE 10 · CONTRATOS COMERCIALES Y PROVEEDORES</t>
        </is>
      </c>
      <c r="B12" s="11" t="n">
        <v>15</v>
      </c>
      <c r="C12" s="11">
        <f>COUNTA('10_Contratos'!B3:B17)</f>
        <v/>
      </c>
      <c r="D12" s="11">
        <f>COUNTIF('10_Contratos'!B3:F17,"REVISAR")</f>
        <v/>
      </c>
      <c r="E12" s="12">
        <f>IFERROR(C12/B12,0)</f>
        <v/>
      </c>
    </row>
    <row r="13">
      <c r="A13" s="10" t="inlineStr">
        <is>
          <t>BLOQUE 11 · EQUIPO HUMANO (~8 PERSONAS)</t>
        </is>
      </c>
      <c r="B13" s="11" t="n">
        <v>11</v>
      </c>
      <c r="C13" s="11">
        <f>COUNTA('11_Equipo'!B3:B13)</f>
        <v/>
      </c>
      <c r="D13" s="11">
        <f>COUNTIF('11_Equipo'!B3:F13,"REVISAR")</f>
        <v/>
      </c>
      <c r="E13" s="12">
        <f>IFERROR(C13/B13,0)</f>
        <v/>
      </c>
    </row>
    <row r="14">
      <c r="A14" s="10" t="inlineStr">
        <is>
          <t>BLOQUE 12 · PASIVOS, DEUDAS Y CONTINGENCIAS</t>
        </is>
      </c>
      <c r="B14" s="11" t="n">
        <v>14</v>
      </c>
      <c r="C14" s="11">
        <f>COUNTA('12_Pasivos'!B3:B16)</f>
        <v/>
      </c>
      <c r="D14" s="11">
        <f>COUNTIF('12_Pasivos'!B3:F16,"REVISAR")</f>
        <v/>
      </c>
      <c r="E14" s="12">
        <f>IFERROR(C14/B14,0)</f>
        <v/>
      </c>
    </row>
    <row r="15">
      <c r="A15" s="10" t="inlineStr">
        <is>
          <t>BLOQUE 13 · INTANGIBLES BLANDOS (NO CAPITALIZABLES AISLADOS)</t>
        </is>
      </c>
      <c r="B15" s="11" t="n">
        <v>7</v>
      </c>
      <c r="C15" s="11">
        <f>COUNTA('13_Intangibles_blandos'!B3:B9)</f>
        <v/>
      </c>
      <c r="D15" s="11">
        <f>COUNTIF('13_Intangibles_blandos'!B3:F9,"REVISAR")</f>
        <v/>
      </c>
      <c r="E15" s="12">
        <f>IFERROR(C15/B15,0)</f>
        <v/>
      </c>
    </row>
    <row r="16">
      <c r="A16" s="13" t="inlineStr">
        <is>
          <t>TOTAL</t>
        </is>
      </c>
      <c r="B16" s="14">
        <f>SUM(B3:B15)</f>
        <v/>
      </c>
      <c r="C16" s="14">
        <f>SUM(C3:C15)</f>
        <v/>
      </c>
      <c r="D16" s="14">
        <f>SUM(D3:D15)</f>
        <v/>
      </c>
      <c r="E16" s="15">
        <f>IFERROR(C16/B16,0)</f>
        <v/>
      </c>
    </row>
    <row r="18">
      <c r="A18" s="16" t="inlineStr">
        <is>
          <t>Nota: el contador 'Rellenados' cuenta filas con la columna 'Titular actual' (B) cumplimentada. 'REVISAR' se cuenta en todas las columnas B-F.</t>
        </is>
      </c>
    </row>
  </sheetData>
  <mergeCells count="2"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2026-06-12T11:08:17Z</dcterms:created>
  <dcterms:modified xmlns:dcterms="http://purl.org/dc/terms/" xmlns:xsi="http://www.w3.org/2001/XMLSchema-instance" xsi:type="dcterms:W3CDTF">2026-06-12T11:08:17Z</dcterms:modified>
</cp:coreProperties>
</file>